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anredman/Documents/data_analytics/"/>
    </mc:Choice>
  </mc:AlternateContent>
  <xr:revisionPtr revIDLastSave="0" documentId="8_{A98C1738-21D0-D84B-8FA2-5205F3956C92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Sumary Table" sheetId="10" r:id="rId1"/>
    <sheet name="Daily Price Data Analysis" sheetId="4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8" i="4" l="1"/>
  <c r="K129" i="4"/>
  <c r="K130" i="4"/>
  <c r="K131" i="4"/>
  <c r="K132" i="4"/>
  <c r="K133" i="4"/>
  <c r="K134" i="4"/>
  <c r="K135" i="4"/>
  <c r="K136" i="4"/>
  <c r="K137" i="4"/>
  <c r="K138" i="4"/>
  <c r="K139" i="4"/>
  <c r="K127" i="4"/>
  <c r="K140" i="4" s="1"/>
  <c r="K124" i="4" a="1"/>
  <c r="K124" i="4"/>
  <c r="K123" i="4" a="1"/>
  <c r="K123" i="4"/>
  <c r="K122" i="4" a="1"/>
  <c r="K122" i="4"/>
  <c r="K121" i="4" a="1"/>
  <c r="K121" i="4" s="1"/>
  <c r="K120" i="4" a="1"/>
  <c r="K120" i="4" s="1"/>
  <c r="K105" i="4"/>
  <c r="K106" i="4"/>
  <c r="K107" i="4"/>
  <c r="K108" i="4"/>
  <c r="K109" i="4"/>
  <c r="K110" i="4"/>
  <c r="K111" i="4"/>
  <c r="K112" i="4"/>
  <c r="K113" i="4"/>
  <c r="K114" i="4"/>
  <c r="K115" i="4"/>
  <c r="K116" i="4"/>
  <c r="K104" i="4"/>
  <c r="K117" i="4" s="1"/>
  <c r="K101" i="4" a="1"/>
  <c r="K101" i="4" s="1"/>
  <c r="K100" i="4" a="1"/>
  <c r="K100" i="4"/>
  <c r="K99" i="4" a="1"/>
  <c r="K99" i="4"/>
  <c r="K98" i="4" a="1"/>
  <c r="K98" i="4" s="1"/>
  <c r="K97" i="4" a="1"/>
  <c r="K97" i="4"/>
  <c r="K81" i="4"/>
  <c r="K82" i="4"/>
  <c r="K83" i="4"/>
  <c r="K84" i="4"/>
  <c r="K85" i="4"/>
  <c r="K86" i="4"/>
  <c r="K87" i="4"/>
  <c r="K88" i="4"/>
  <c r="K89" i="4"/>
  <c r="K90" i="4"/>
  <c r="K91" i="4"/>
  <c r="K92" i="4"/>
  <c r="K80" i="4"/>
  <c r="K93" i="4" s="1"/>
  <c r="K77" i="4" a="1"/>
  <c r="K77" i="4"/>
  <c r="K76" i="4" a="1"/>
  <c r="K76" i="4"/>
  <c r="K75" i="4" a="1"/>
  <c r="K75" i="4"/>
  <c r="K74" i="4" a="1"/>
  <c r="K74" i="4" s="1"/>
  <c r="K73" i="4" a="1"/>
  <c r="K73" i="4" s="1"/>
  <c r="K57" i="4"/>
  <c r="K58" i="4"/>
  <c r="K59" i="4"/>
  <c r="K60" i="4"/>
  <c r="K61" i="4"/>
  <c r="K62" i="4"/>
  <c r="K63" i="4"/>
  <c r="K64" i="4"/>
  <c r="K65" i="4"/>
  <c r="K66" i="4"/>
  <c r="K67" i="4"/>
  <c r="K68" i="4"/>
  <c r="K56" i="4"/>
  <c r="K69" i="4" s="1"/>
  <c r="K53" i="4" a="1"/>
  <c r="K53" i="4" s="1"/>
  <c r="K52" i="4" a="1"/>
  <c r="K52" i="4"/>
  <c r="K51" i="4" a="1"/>
  <c r="K51" i="4"/>
  <c r="K50" i="4" a="1"/>
  <c r="K50" i="4" s="1"/>
  <c r="K49" i="4" a="1"/>
  <c r="K49" i="4"/>
  <c r="K29" i="4"/>
  <c r="K26" i="4"/>
  <c r="K25" i="4"/>
  <c r="K45" i="4"/>
  <c r="K33" i="4"/>
  <c r="K34" i="4"/>
  <c r="K35" i="4"/>
  <c r="K36" i="4"/>
  <c r="K37" i="4"/>
  <c r="K38" i="4"/>
  <c r="K39" i="4"/>
  <c r="K40" i="4"/>
  <c r="K41" i="4"/>
  <c r="K42" i="4"/>
  <c r="K43" i="4"/>
  <c r="K44" i="4"/>
  <c r="K32" i="4"/>
  <c r="K28" i="4"/>
  <c r="K27" i="4"/>
  <c r="G388" i="4"/>
  <c r="E386" i="4"/>
  <c r="F382" i="4"/>
  <c r="G382" i="4"/>
  <c r="H382" i="4"/>
  <c r="F383" i="4"/>
  <c r="G383" i="4"/>
  <c r="H383" i="4"/>
  <c r="F384" i="4"/>
  <c r="G384" i="4"/>
  <c r="H384" i="4"/>
  <c r="F385" i="4"/>
  <c r="G385" i="4"/>
  <c r="H385" i="4"/>
  <c r="F386" i="4"/>
  <c r="G386" i="4"/>
  <c r="H386" i="4"/>
  <c r="F387" i="4"/>
  <c r="G387" i="4"/>
  <c r="H387" i="4"/>
  <c r="F388" i="4"/>
  <c r="H388" i="4"/>
  <c r="F389" i="4"/>
  <c r="G389" i="4"/>
  <c r="H389" i="4"/>
  <c r="F390" i="4"/>
  <c r="G390" i="4"/>
  <c r="H390" i="4"/>
  <c r="E382" i="4"/>
  <c r="E383" i="4"/>
  <c r="E384" i="4"/>
  <c r="E385" i="4"/>
  <c r="E387" i="4"/>
  <c r="E388" i="4"/>
  <c r="E389" i="4"/>
  <c r="E39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0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9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5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<sst xmlns="http://schemas.openxmlformats.org/spreadsheetml/2006/main" count="473" uniqueCount="52">
  <si>
    <t>Date</t>
  </si>
  <si>
    <t>WTI Close</t>
  </si>
  <si>
    <t>Daily Chg(%)</t>
  </si>
  <si>
    <t>3-Day Chg(%)</t>
  </si>
  <si>
    <t>7-Day Chg (%)</t>
  </si>
  <si>
    <t>30-Day Chg (%)</t>
  </si>
  <si>
    <t>Event Description</t>
  </si>
  <si>
    <t>Event Category</t>
  </si>
  <si>
    <t>Geopolitical Tension</t>
  </si>
  <si>
    <t>Iran internal unrest/crackdown</t>
  </si>
  <si>
    <t>Military Escalation</t>
  </si>
  <si>
    <t>De-escalation</t>
  </si>
  <si>
    <t>Israel Strikes Iran</t>
  </si>
  <si>
    <t>US enforcement near Venezuela</t>
  </si>
  <si>
    <t>Iraq/Kuwait production cuts</t>
  </si>
  <si>
    <t>Qatar LNG tanker attacked</t>
  </si>
  <si>
    <t>Ceasefire announced</t>
  </si>
  <si>
    <t>US naval blockade announced</t>
  </si>
  <si>
    <t>Peace talks begin</t>
  </si>
  <si>
    <t>Talks stall</t>
  </si>
  <si>
    <t>US capture of Venezuelan President</t>
  </si>
  <si>
    <t>Trump inauguration; policy uncertainty</t>
  </si>
  <si>
    <t>Iran threatens Hormuz Closure</t>
  </si>
  <si>
    <t>US brokered ceasefire reached</t>
  </si>
  <si>
    <t>Opertion Epic Fury</t>
  </si>
  <si>
    <t>US begins to open strait</t>
  </si>
  <si>
    <t>Insurance Premiums surge</t>
  </si>
  <si>
    <t>Iran close Strait of Hormuz</t>
  </si>
  <si>
    <t>Oil surges past $100</t>
  </si>
  <si>
    <t>Tankers threatened on both sides</t>
  </si>
  <si>
    <t>Venezuelan Oil Blockade</t>
  </si>
  <si>
    <t>Tanker traffic collapses by 70%</t>
  </si>
  <si>
    <t>Mine laying by Iran on strait</t>
  </si>
  <si>
    <t>Strait partially re-opens</t>
  </si>
  <si>
    <t>Policy Uncertainty</t>
  </si>
  <si>
    <t>1 year Hamas attack anniversary; Elevated regional risk premium</t>
  </si>
  <si>
    <t>Row Labels</t>
  </si>
  <si>
    <t>Grand Total</t>
  </si>
  <si>
    <t>Average of 3-Day Chg(%)</t>
  </si>
  <si>
    <t>Average of 7-Day Chg (%)</t>
  </si>
  <si>
    <t>Average of 30-Day Chg (%)</t>
  </si>
  <si>
    <t>Overall Summary Statistics</t>
  </si>
  <si>
    <t xml:space="preserve">Mean </t>
  </si>
  <si>
    <t>Median</t>
  </si>
  <si>
    <t>Min</t>
  </si>
  <si>
    <t>Max</t>
  </si>
  <si>
    <t>Standard Deviation</t>
  </si>
  <si>
    <t>Price Bin(Upper Bound)</t>
  </si>
  <si>
    <t>Count</t>
  </si>
  <si>
    <t>Total</t>
  </si>
  <si>
    <t xml:space="preserve">Military Escalation 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</si>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</sst>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[$-409]mmmm\ d\,\ yyyy;@"/>
    <numFmt numFmtId="166" formatCode="_(&quot;$&quot;* #,##0_);_(&quot;$&quot;* \(#,##0\);_(&quot;$&quot;* &quot;-&quot;??_);_(@_)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165" fontId="0" fillId="0" borderId="0" xfId="0" applyNumberForma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5" formatCode="[$-409]mmmm\ d\,\ 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numFmt numFmtId="2" formatCode="0.00"/>
    </dxf>
  </dxfs>
  <tableStyles count="0" defaultTableStyle="TableStyleMedium9" defaultPivotStyle="PivotStyleLight16"/>
  <colors>
    <mruColors>
      <color rgb="FFFFF8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[WTI_Crude_Oil_Analysis.xlsx]Sumary Table!PivotTable12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WTI Price Change</a:t>
            </a:r>
            <a:endParaRPr lang="en-US"/>
          </a:p>
        </c:rich>
      </c:tx>
      <c:layout>
        <c:manualLayout>
          <c:xMode val="edge"/>
          <c:yMode val="edge"/>
          <c:x val="0.42034934982239647"/>
          <c:y val="5.4130241593816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01724118804676"/>
          <c:y val="0.11941108148882965"/>
          <c:w val="0.83061809581494617"/>
          <c:h val="0.664513361026722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'Sumary Table'!$B$3</c:f>
              <c:strCache>
                <c:ptCount val="1"/>
                <c:pt idx="0">
                  <c:v>Average of 3-Day Chg(%)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'Sumary Table'!$A$4:$A$8</c:f>
              <c:strCache>
                <c:ptCount val="4"/>
                <c:pt idx="0">
                  <c:v>De-escalation</c:v>
                </c:pt>
                <c:pt idx="1">
                  <c:v>Geopolitical Tension</c:v>
                </c:pt>
                <c:pt idx="2">
                  <c:v>Military Escalation</c:v>
                </c:pt>
                <c:pt idx="3">
                  <c:v>Policy Uncertainty</c:v>
                </c:pt>
              </c:strCache>
            </c:strRef>
          </c:cat>
          <c:val>
            <c:numRef>
              <c:f>'Sumary Table'!$B$4:$B$8</c:f>
              <c:numCache>
                <c:formatCode>0.00</c:formatCode>
                <c:ptCount val="4"/>
                <c:pt idx="0">
                  <c:v>-0.68454872806262035</c:v>
                </c:pt>
                <c:pt idx="1">
                  <c:v>0.58571226206072491</c:v>
                </c:pt>
                <c:pt idx="2">
                  <c:v>3.5253776251267155</c:v>
                </c:pt>
                <c:pt idx="3">
                  <c:v>-0.37151805948202232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C-4EA5-AD3C-8070343591F2}"/>
            </c:ext>
          </c:extLst>
        </c:ser>
        <c:ser>
          <c:idx val="1"/>
          <c:order val="1"/>
          <c:tx>
            <c:strRef>
              <c:f>'Sumary Table'!$C$3</c:f>
              <c:strCache>
                <c:ptCount val="1"/>
                <c:pt idx="0">
                  <c:v>Average of 7-Day Chg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'Sumary Table'!$A$4:$A$8</c:f>
              <c:strCache>
                <c:ptCount val="4"/>
                <c:pt idx="0">
                  <c:v>De-escalation</c:v>
                </c:pt>
                <c:pt idx="1">
                  <c:v>Geopolitical Tension</c:v>
                </c:pt>
                <c:pt idx="2">
                  <c:v>Military Escalation</c:v>
                </c:pt>
                <c:pt idx="3">
                  <c:v>Policy Uncertainty</c:v>
                </c:pt>
              </c:strCache>
            </c:strRef>
          </c:cat>
          <c:val>
            <c:numRef>
              <c:f>'Sumary Table'!$C$4:$C$8</c:f>
              <c:numCache>
                <c:formatCode>0.00</c:formatCode>
                <c:ptCount val="4"/>
                <c:pt idx="0">
                  <c:v>-2.3738781724722355</c:v>
                </c:pt>
                <c:pt idx="1">
                  <c:v>1.2368647601774985</c:v>
                </c:pt>
                <c:pt idx="2">
                  <c:v>8.56946482071662</c:v>
                </c:pt>
                <c:pt idx="3">
                  <c:v>-0.83248499067298054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EC-4EA5-AD3C-8070343591F2}"/>
            </c:ext>
          </c:extLst>
        </c:ser>
        <c:ser>
          <c:idx val="2"/>
          <c:order val="2"/>
          <c:tx>
            <c:strRef>
              <c:f>'Sumary Table'!$D$3</c:f>
              <c:strCache>
                <c:ptCount val="1"/>
                <c:pt idx="0">
                  <c:v>Average of 30-Day Chg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'Sumary Table'!$A$4:$A$8</c:f>
              <c:strCache>
                <c:ptCount val="4"/>
                <c:pt idx="0">
                  <c:v>De-escalation</c:v>
                </c:pt>
                <c:pt idx="1">
                  <c:v>Geopolitical Tension</c:v>
                </c:pt>
                <c:pt idx="2">
                  <c:v>Military Escalation</c:v>
                </c:pt>
                <c:pt idx="3">
                  <c:v>Policy Uncertainty</c:v>
                </c:pt>
              </c:strCache>
            </c:strRef>
          </c:cat>
          <c:val>
            <c:numRef>
              <c:f>'Sumary Table'!$D$4:$D$8</c:f>
              <c:numCache>
                <c:formatCode>0.00</c:formatCode>
                <c:ptCount val="4"/>
                <c:pt idx="0">
                  <c:v>-0.12309464180500411</c:v>
                </c:pt>
                <c:pt idx="1">
                  <c:v>3.7344378969790881</c:v>
                </c:pt>
                <c:pt idx="2">
                  <c:v>33.379593175588916</c:v>
                </c:pt>
                <c:pt idx="3">
                  <c:v>-3.4091079972226797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EC-4EA5-AD3C-8070343591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4121056"/>
        <c:axId val="1754104736"/>
      </c:barChart>
      <c:catAx>
        <c:axId val="175412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Geopolitical</a:t>
                </a:r>
                <a:r>
                  <a:rPr lang="en-US" baseline="0"/>
                  <a:t> Category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599321534512326"/>
              <c:y val="0.93284080434827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04736"/>
        <c:crosses val="autoZero"/>
        <c:auto val="1"/>
        <c:lblAlgn val="ctr"/>
        <c:lblOffset val="100"/>
        <c:noMultiLvlLbl val="0"/>
      </c:catAx>
      <c:valAx>
        <c:axId val="175410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Change</a:t>
                </a:r>
              </a:p>
            </c:rich>
          </c:tx>
          <c:layout>
            <c:manualLayout>
              <c:xMode val="edge"/>
              <c:yMode val="edge"/>
              <c:x val="7.6938607526130243E-3"/>
              <c:y val="0.444161117655568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21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2638258975024572"/>
          <c:y val="0.17132287597908527"/>
          <c:w val="0.19655344857040799"/>
          <c:h val="0.20819922706512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WTI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Price Data Analysis'!$A$2:$A$390</c:f>
              <c:numCache>
                <c:formatCode>[$-409]mmmm\ d\,\ yyyy;@</c:formatCode>
                <c:ptCount val="38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45572</c:v>
                </c:pt>
                <c:pt idx="5">
                  <c:v>45573</c:v>
                </c:pt>
                <c:pt idx="6">
                  <c:v>45574</c:v>
                </c:pt>
                <c:pt idx="7">
                  <c:v>45575</c:v>
                </c:pt>
                <c:pt idx="8">
                  <c:v>45576</c:v>
                </c:pt>
                <c:pt idx="9">
                  <c:v>45580</c:v>
                </c:pt>
                <c:pt idx="10">
                  <c:v>45581</c:v>
                </c:pt>
                <c:pt idx="11">
                  <c:v>45582</c:v>
                </c:pt>
                <c:pt idx="12">
                  <c:v>45583</c:v>
                </c:pt>
                <c:pt idx="13">
                  <c:v>45586</c:v>
                </c:pt>
                <c:pt idx="14">
                  <c:v>45587</c:v>
                </c:pt>
                <c:pt idx="15">
                  <c:v>45588</c:v>
                </c:pt>
                <c:pt idx="16">
                  <c:v>45589</c:v>
                </c:pt>
                <c:pt idx="17">
                  <c:v>45590</c:v>
                </c:pt>
                <c:pt idx="18">
                  <c:v>45593</c:v>
                </c:pt>
                <c:pt idx="19">
                  <c:v>45594</c:v>
                </c:pt>
                <c:pt idx="20">
                  <c:v>45595</c:v>
                </c:pt>
                <c:pt idx="21">
                  <c:v>45596</c:v>
                </c:pt>
                <c:pt idx="22">
                  <c:v>45597</c:v>
                </c:pt>
                <c:pt idx="23">
                  <c:v>45600</c:v>
                </c:pt>
                <c:pt idx="24">
                  <c:v>45601</c:v>
                </c:pt>
                <c:pt idx="25">
                  <c:v>45602</c:v>
                </c:pt>
                <c:pt idx="26">
                  <c:v>45603</c:v>
                </c:pt>
                <c:pt idx="27">
                  <c:v>45604</c:v>
                </c:pt>
                <c:pt idx="28">
                  <c:v>45608</c:v>
                </c:pt>
                <c:pt idx="29">
                  <c:v>45609</c:v>
                </c:pt>
                <c:pt idx="30">
                  <c:v>45610</c:v>
                </c:pt>
                <c:pt idx="31">
                  <c:v>45611</c:v>
                </c:pt>
                <c:pt idx="32">
                  <c:v>45614</c:v>
                </c:pt>
                <c:pt idx="33">
                  <c:v>45615</c:v>
                </c:pt>
                <c:pt idx="34">
                  <c:v>45616</c:v>
                </c:pt>
                <c:pt idx="35">
                  <c:v>45617</c:v>
                </c:pt>
                <c:pt idx="36">
                  <c:v>45618</c:v>
                </c:pt>
                <c:pt idx="37">
                  <c:v>45621</c:v>
                </c:pt>
                <c:pt idx="38">
                  <c:v>45622</c:v>
                </c:pt>
                <c:pt idx="39">
                  <c:v>45623</c:v>
                </c:pt>
                <c:pt idx="40">
                  <c:v>45625</c:v>
                </c:pt>
                <c:pt idx="41">
                  <c:v>45628</c:v>
                </c:pt>
                <c:pt idx="42">
                  <c:v>45629</c:v>
                </c:pt>
                <c:pt idx="43">
                  <c:v>45630</c:v>
                </c:pt>
                <c:pt idx="44">
                  <c:v>45631</c:v>
                </c:pt>
                <c:pt idx="45">
                  <c:v>45632</c:v>
                </c:pt>
                <c:pt idx="46">
                  <c:v>45635</c:v>
                </c:pt>
                <c:pt idx="47">
                  <c:v>45636</c:v>
                </c:pt>
                <c:pt idx="48">
                  <c:v>45637</c:v>
                </c:pt>
                <c:pt idx="49">
                  <c:v>45638</c:v>
                </c:pt>
                <c:pt idx="50">
                  <c:v>45639</c:v>
                </c:pt>
                <c:pt idx="51">
                  <c:v>45642</c:v>
                </c:pt>
                <c:pt idx="52">
                  <c:v>45643</c:v>
                </c:pt>
                <c:pt idx="53">
                  <c:v>45644</c:v>
                </c:pt>
                <c:pt idx="54">
                  <c:v>45645</c:v>
                </c:pt>
                <c:pt idx="55">
                  <c:v>45646</c:v>
                </c:pt>
                <c:pt idx="56">
                  <c:v>45649</c:v>
                </c:pt>
                <c:pt idx="57">
                  <c:v>45650</c:v>
                </c:pt>
                <c:pt idx="58">
                  <c:v>45652</c:v>
                </c:pt>
                <c:pt idx="59">
                  <c:v>45653</c:v>
                </c:pt>
                <c:pt idx="60">
                  <c:v>45656</c:v>
                </c:pt>
                <c:pt idx="61">
                  <c:v>45657</c:v>
                </c:pt>
                <c:pt idx="62">
                  <c:v>45659</c:v>
                </c:pt>
                <c:pt idx="63">
                  <c:v>45660</c:v>
                </c:pt>
                <c:pt idx="64">
                  <c:v>45663</c:v>
                </c:pt>
                <c:pt idx="65">
                  <c:v>45664</c:v>
                </c:pt>
                <c:pt idx="66">
                  <c:v>45665</c:v>
                </c:pt>
                <c:pt idx="67">
                  <c:v>45667</c:v>
                </c:pt>
                <c:pt idx="68">
                  <c:v>45670</c:v>
                </c:pt>
                <c:pt idx="69">
                  <c:v>45671</c:v>
                </c:pt>
                <c:pt idx="70">
                  <c:v>45672</c:v>
                </c:pt>
                <c:pt idx="71">
                  <c:v>45673</c:v>
                </c:pt>
                <c:pt idx="72">
                  <c:v>45674</c:v>
                </c:pt>
                <c:pt idx="73">
                  <c:v>45678</c:v>
                </c:pt>
                <c:pt idx="74">
                  <c:v>45679</c:v>
                </c:pt>
                <c:pt idx="75">
                  <c:v>45680</c:v>
                </c:pt>
                <c:pt idx="76">
                  <c:v>45681</c:v>
                </c:pt>
                <c:pt idx="77">
                  <c:v>45684</c:v>
                </c:pt>
                <c:pt idx="78">
                  <c:v>45685</c:v>
                </c:pt>
                <c:pt idx="79">
                  <c:v>45686</c:v>
                </c:pt>
                <c:pt idx="80">
                  <c:v>45687</c:v>
                </c:pt>
                <c:pt idx="81">
                  <c:v>45688</c:v>
                </c:pt>
                <c:pt idx="82">
                  <c:v>45691</c:v>
                </c:pt>
                <c:pt idx="83">
                  <c:v>45692</c:v>
                </c:pt>
                <c:pt idx="84">
                  <c:v>45693</c:v>
                </c:pt>
                <c:pt idx="85">
                  <c:v>45694</c:v>
                </c:pt>
                <c:pt idx="86">
                  <c:v>45695</c:v>
                </c:pt>
                <c:pt idx="87">
                  <c:v>45698</c:v>
                </c:pt>
                <c:pt idx="88">
                  <c:v>45699</c:v>
                </c:pt>
                <c:pt idx="89">
                  <c:v>45700</c:v>
                </c:pt>
                <c:pt idx="90">
                  <c:v>45701</c:v>
                </c:pt>
                <c:pt idx="91">
                  <c:v>45702</c:v>
                </c:pt>
                <c:pt idx="92">
                  <c:v>45706</c:v>
                </c:pt>
                <c:pt idx="93">
                  <c:v>45707</c:v>
                </c:pt>
                <c:pt idx="94">
                  <c:v>45708</c:v>
                </c:pt>
                <c:pt idx="95">
                  <c:v>45709</c:v>
                </c:pt>
                <c:pt idx="96">
                  <c:v>45712</c:v>
                </c:pt>
                <c:pt idx="97">
                  <c:v>45713</c:v>
                </c:pt>
                <c:pt idx="98">
                  <c:v>45714</c:v>
                </c:pt>
                <c:pt idx="99">
                  <c:v>45715</c:v>
                </c:pt>
                <c:pt idx="100">
                  <c:v>45716</c:v>
                </c:pt>
                <c:pt idx="101">
                  <c:v>45719</c:v>
                </c:pt>
                <c:pt idx="102">
                  <c:v>45720</c:v>
                </c:pt>
                <c:pt idx="103">
                  <c:v>45721</c:v>
                </c:pt>
                <c:pt idx="104">
                  <c:v>45722</c:v>
                </c:pt>
                <c:pt idx="105">
                  <c:v>45723</c:v>
                </c:pt>
                <c:pt idx="106">
                  <c:v>45726</c:v>
                </c:pt>
                <c:pt idx="107">
                  <c:v>45727</c:v>
                </c:pt>
                <c:pt idx="108">
                  <c:v>45728</c:v>
                </c:pt>
                <c:pt idx="109">
                  <c:v>45729</c:v>
                </c:pt>
                <c:pt idx="110">
                  <c:v>45730</c:v>
                </c:pt>
                <c:pt idx="111">
                  <c:v>45733</c:v>
                </c:pt>
                <c:pt idx="112">
                  <c:v>45734</c:v>
                </c:pt>
                <c:pt idx="113">
                  <c:v>45735</c:v>
                </c:pt>
                <c:pt idx="114">
                  <c:v>45736</c:v>
                </c:pt>
                <c:pt idx="115">
                  <c:v>45737</c:v>
                </c:pt>
                <c:pt idx="116">
                  <c:v>45740</c:v>
                </c:pt>
                <c:pt idx="117">
                  <c:v>45741</c:v>
                </c:pt>
                <c:pt idx="118">
                  <c:v>45742</c:v>
                </c:pt>
                <c:pt idx="119">
                  <c:v>45743</c:v>
                </c:pt>
                <c:pt idx="120">
                  <c:v>45744</c:v>
                </c:pt>
                <c:pt idx="121">
                  <c:v>45747</c:v>
                </c:pt>
                <c:pt idx="122">
                  <c:v>45748</c:v>
                </c:pt>
                <c:pt idx="123">
                  <c:v>45749</c:v>
                </c:pt>
                <c:pt idx="124">
                  <c:v>45750</c:v>
                </c:pt>
                <c:pt idx="125">
                  <c:v>45751</c:v>
                </c:pt>
                <c:pt idx="126">
                  <c:v>45754</c:v>
                </c:pt>
                <c:pt idx="127">
                  <c:v>45755</c:v>
                </c:pt>
                <c:pt idx="128">
                  <c:v>45756</c:v>
                </c:pt>
                <c:pt idx="129">
                  <c:v>45757</c:v>
                </c:pt>
                <c:pt idx="130">
                  <c:v>45758</c:v>
                </c:pt>
                <c:pt idx="131">
                  <c:v>45761</c:v>
                </c:pt>
                <c:pt idx="132">
                  <c:v>45762</c:v>
                </c:pt>
                <c:pt idx="133">
                  <c:v>45763</c:v>
                </c:pt>
                <c:pt idx="134">
                  <c:v>45764</c:v>
                </c:pt>
                <c:pt idx="135">
                  <c:v>45768</c:v>
                </c:pt>
                <c:pt idx="136">
                  <c:v>45769</c:v>
                </c:pt>
                <c:pt idx="137">
                  <c:v>45770</c:v>
                </c:pt>
                <c:pt idx="138">
                  <c:v>45771</c:v>
                </c:pt>
                <c:pt idx="139">
                  <c:v>45772</c:v>
                </c:pt>
                <c:pt idx="140">
                  <c:v>45775</c:v>
                </c:pt>
                <c:pt idx="141">
                  <c:v>45776</c:v>
                </c:pt>
                <c:pt idx="142">
                  <c:v>45777</c:v>
                </c:pt>
                <c:pt idx="143">
                  <c:v>45778</c:v>
                </c:pt>
                <c:pt idx="144">
                  <c:v>45779</c:v>
                </c:pt>
                <c:pt idx="145">
                  <c:v>45782</c:v>
                </c:pt>
                <c:pt idx="146">
                  <c:v>45783</c:v>
                </c:pt>
                <c:pt idx="147">
                  <c:v>45784</c:v>
                </c:pt>
                <c:pt idx="148">
                  <c:v>45785</c:v>
                </c:pt>
                <c:pt idx="149">
                  <c:v>45786</c:v>
                </c:pt>
                <c:pt idx="150">
                  <c:v>45789</c:v>
                </c:pt>
                <c:pt idx="151">
                  <c:v>45790</c:v>
                </c:pt>
                <c:pt idx="152">
                  <c:v>45791</c:v>
                </c:pt>
                <c:pt idx="153">
                  <c:v>45792</c:v>
                </c:pt>
                <c:pt idx="154">
                  <c:v>45793</c:v>
                </c:pt>
                <c:pt idx="155">
                  <c:v>45796</c:v>
                </c:pt>
                <c:pt idx="156">
                  <c:v>45797</c:v>
                </c:pt>
                <c:pt idx="157">
                  <c:v>45798</c:v>
                </c:pt>
                <c:pt idx="158">
                  <c:v>45799</c:v>
                </c:pt>
                <c:pt idx="159">
                  <c:v>45800</c:v>
                </c:pt>
                <c:pt idx="160">
                  <c:v>45804</c:v>
                </c:pt>
                <c:pt idx="161">
                  <c:v>45805</c:v>
                </c:pt>
                <c:pt idx="162">
                  <c:v>45806</c:v>
                </c:pt>
                <c:pt idx="163">
                  <c:v>45807</c:v>
                </c:pt>
                <c:pt idx="164">
                  <c:v>45810</c:v>
                </c:pt>
                <c:pt idx="165">
                  <c:v>45811</c:v>
                </c:pt>
                <c:pt idx="166">
                  <c:v>45812</c:v>
                </c:pt>
                <c:pt idx="167">
                  <c:v>45813</c:v>
                </c:pt>
                <c:pt idx="168">
                  <c:v>45814</c:v>
                </c:pt>
                <c:pt idx="169">
                  <c:v>45817</c:v>
                </c:pt>
                <c:pt idx="170">
                  <c:v>45818</c:v>
                </c:pt>
                <c:pt idx="171">
                  <c:v>45819</c:v>
                </c:pt>
                <c:pt idx="172">
                  <c:v>45820</c:v>
                </c:pt>
                <c:pt idx="173">
                  <c:v>45821</c:v>
                </c:pt>
                <c:pt idx="174">
                  <c:v>45824</c:v>
                </c:pt>
                <c:pt idx="175">
                  <c:v>45825</c:v>
                </c:pt>
                <c:pt idx="176">
                  <c:v>45826</c:v>
                </c:pt>
                <c:pt idx="177">
                  <c:v>45828</c:v>
                </c:pt>
                <c:pt idx="178">
                  <c:v>45831</c:v>
                </c:pt>
                <c:pt idx="179">
                  <c:v>45832</c:v>
                </c:pt>
                <c:pt idx="180">
                  <c:v>45833</c:v>
                </c:pt>
                <c:pt idx="181">
                  <c:v>45834</c:v>
                </c:pt>
                <c:pt idx="182">
                  <c:v>45835</c:v>
                </c:pt>
                <c:pt idx="183">
                  <c:v>45838</c:v>
                </c:pt>
                <c:pt idx="184">
                  <c:v>45839</c:v>
                </c:pt>
                <c:pt idx="185">
                  <c:v>45840</c:v>
                </c:pt>
                <c:pt idx="186">
                  <c:v>45841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45852</c:v>
                </c:pt>
                <c:pt idx="193">
                  <c:v>45853</c:v>
                </c:pt>
                <c:pt idx="194">
                  <c:v>45854</c:v>
                </c:pt>
                <c:pt idx="195">
                  <c:v>45855</c:v>
                </c:pt>
                <c:pt idx="196">
                  <c:v>45856</c:v>
                </c:pt>
                <c:pt idx="197">
                  <c:v>45859</c:v>
                </c:pt>
                <c:pt idx="198">
                  <c:v>45860</c:v>
                </c:pt>
                <c:pt idx="199">
                  <c:v>45861</c:v>
                </c:pt>
                <c:pt idx="200">
                  <c:v>45862</c:v>
                </c:pt>
                <c:pt idx="201">
                  <c:v>45863</c:v>
                </c:pt>
                <c:pt idx="202">
                  <c:v>45866</c:v>
                </c:pt>
                <c:pt idx="203">
                  <c:v>45867</c:v>
                </c:pt>
                <c:pt idx="204">
                  <c:v>45868</c:v>
                </c:pt>
                <c:pt idx="205">
                  <c:v>45869</c:v>
                </c:pt>
                <c:pt idx="206">
                  <c:v>45870</c:v>
                </c:pt>
                <c:pt idx="207">
                  <c:v>45873</c:v>
                </c:pt>
                <c:pt idx="208">
                  <c:v>45874</c:v>
                </c:pt>
                <c:pt idx="209">
                  <c:v>45875</c:v>
                </c:pt>
                <c:pt idx="210">
                  <c:v>45876</c:v>
                </c:pt>
                <c:pt idx="211">
                  <c:v>45877</c:v>
                </c:pt>
                <c:pt idx="212">
                  <c:v>45880</c:v>
                </c:pt>
                <c:pt idx="213">
                  <c:v>45881</c:v>
                </c:pt>
                <c:pt idx="214">
                  <c:v>45882</c:v>
                </c:pt>
                <c:pt idx="215">
                  <c:v>45883</c:v>
                </c:pt>
                <c:pt idx="216">
                  <c:v>45884</c:v>
                </c:pt>
                <c:pt idx="217">
                  <c:v>45887</c:v>
                </c:pt>
                <c:pt idx="218">
                  <c:v>45888</c:v>
                </c:pt>
                <c:pt idx="219">
                  <c:v>45889</c:v>
                </c:pt>
                <c:pt idx="220">
                  <c:v>45890</c:v>
                </c:pt>
                <c:pt idx="221">
                  <c:v>45891</c:v>
                </c:pt>
                <c:pt idx="222">
                  <c:v>45894</c:v>
                </c:pt>
                <c:pt idx="223">
                  <c:v>45895</c:v>
                </c:pt>
                <c:pt idx="224">
                  <c:v>45896</c:v>
                </c:pt>
                <c:pt idx="225">
                  <c:v>45897</c:v>
                </c:pt>
                <c:pt idx="226">
                  <c:v>45898</c:v>
                </c:pt>
                <c:pt idx="227">
                  <c:v>45902</c:v>
                </c:pt>
                <c:pt idx="228">
                  <c:v>45903</c:v>
                </c:pt>
                <c:pt idx="229">
                  <c:v>45904</c:v>
                </c:pt>
                <c:pt idx="230">
                  <c:v>45905</c:v>
                </c:pt>
                <c:pt idx="231">
                  <c:v>45908</c:v>
                </c:pt>
                <c:pt idx="232">
                  <c:v>45909</c:v>
                </c:pt>
                <c:pt idx="233">
                  <c:v>45910</c:v>
                </c:pt>
                <c:pt idx="234">
                  <c:v>45911</c:v>
                </c:pt>
                <c:pt idx="235">
                  <c:v>45912</c:v>
                </c:pt>
                <c:pt idx="236">
                  <c:v>45915</c:v>
                </c:pt>
                <c:pt idx="237">
                  <c:v>45916</c:v>
                </c:pt>
                <c:pt idx="238">
                  <c:v>45917</c:v>
                </c:pt>
                <c:pt idx="239">
                  <c:v>45918</c:v>
                </c:pt>
                <c:pt idx="240">
                  <c:v>45919</c:v>
                </c:pt>
                <c:pt idx="241">
                  <c:v>45922</c:v>
                </c:pt>
                <c:pt idx="242">
                  <c:v>45923</c:v>
                </c:pt>
                <c:pt idx="243">
                  <c:v>45924</c:v>
                </c:pt>
                <c:pt idx="244">
                  <c:v>45925</c:v>
                </c:pt>
                <c:pt idx="245">
                  <c:v>45926</c:v>
                </c:pt>
                <c:pt idx="246">
                  <c:v>45929</c:v>
                </c:pt>
                <c:pt idx="247">
                  <c:v>45930</c:v>
                </c:pt>
                <c:pt idx="248">
                  <c:v>45931</c:v>
                </c:pt>
                <c:pt idx="249">
                  <c:v>45932</c:v>
                </c:pt>
                <c:pt idx="250">
                  <c:v>45933</c:v>
                </c:pt>
                <c:pt idx="251">
                  <c:v>45936</c:v>
                </c:pt>
                <c:pt idx="252">
                  <c:v>45937</c:v>
                </c:pt>
                <c:pt idx="253">
                  <c:v>45938</c:v>
                </c:pt>
                <c:pt idx="254">
                  <c:v>45939</c:v>
                </c:pt>
                <c:pt idx="255">
                  <c:v>45940</c:v>
                </c:pt>
                <c:pt idx="256">
                  <c:v>45944</c:v>
                </c:pt>
                <c:pt idx="257">
                  <c:v>45945</c:v>
                </c:pt>
                <c:pt idx="258">
                  <c:v>45946</c:v>
                </c:pt>
                <c:pt idx="259">
                  <c:v>45947</c:v>
                </c:pt>
                <c:pt idx="260">
                  <c:v>45950</c:v>
                </c:pt>
                <c:pt idx="261">
                  <c:v>45951</c:v>
                </c:pt>
                <c:pt idx="262">
                  <c:v>45952</c:v>
                </c:pt>
                <c:pt idx="263">
                  <c:v>45953</c:v>
                </c:pt>
                <c:pt idx="264">
                  <c:v>45954</c:v>
                </c:pt>
                <c:pt idx="265">
                  <c:v>45957</c:v>
                </c:pt>
                <c:pt idx="266">
                  <c:v>45958</c:v>
                </c:pt>
                <c:pt idx="267">
                  <c:v>45959</c:v>
                </c:pt>
                <c:pt idx="268">
                  <c:v>45960</c:v>
                </c:pt>
                <c:pt idx="269">
                  <c:v>45961</c:v>
                </c:pt>
                <c:pt idx="270">
                  <c:v>45964</c:v>
                </c:pt>
                <c:pt idx="271">
                  <c:v>45965</c:v>
                </c:pt>
                <c:pt idx="272">
                  <c:v>45966</c:v>
                </c:pt>
                <c:pt idx="273">
                  <c:v>45967</c:v>
                </c:pt>
                <c:pt idx="274">
                  <c:v>45968</c:v>
                </c:pt>
                <c:pt idx="275">
                  <c:v>45971</c:v>
                </c:pt>
                <c:pt idx="276">
                  <c:v>45973</c:v>
                </c:pt>
                <c:pt idx="277">
                  <c:v>45974</c:v>
                </c:pt>
                <c:pt idx="278">
                  <c:v>45975</c:v>
                </c:pt>
                <c:pt idx="279">
                  <c:v>45978</c:v>
                </c:pt>
                <c:pt idx="280">
                  <c:v>45979</c:v>
                </c:pt>
                <c:pt idx="281">
                  <c:v>45980</c:v>
                </c:pt>
                <c:pt idx="282">
                  <c:v>45981</c:v>
                </c:pt>
                <c:pt idx="283">
                  <c:v>45982</c:v>
                </c:pt>
                <c:pt idx="284">
                  <c:v>45985</c:v>
                </c:pt>
                <c:pt idx="285">
                  <c:v>45986</c:v>
                </c:pt>
                <c:pt idx="286">
                  <c:v>45987</c:v>
                </c:pt>
                <c:pt idx="287">
                  <c:v>45989</c:v>
                </c:pt>
                <c:pt idx="288">
                  <c:v>45992</c:v>
                </c:pt>
                <c:pt idx="289">
                  <c:v>45993</c:v>
                </c:pt>
                <c:pt idx="290">
                  <c:v>45994</c:v>
                </c:pt>
                <c:pt idx="291">
                  <c:v>45995</c:v>
                </c:pt>
                <c:pt idx="292">
                  <c:v>45996</c:v>
                </c:pt>
                <c:pt idx="293">
                  <c:v>45999</c:v>
                </c:pt>
                <c:pt idx="294">
                  <c:v>46000</c:v>
                </c:pt>
                <c:pt idx="295">
                  <c:v>46001</c:v>
                </c:pt>
                <c:pt idx="296">
                  <c:v>46002</c:v>
                </c:pt>
                <c:pt idx="297">
                  <c:v>46003</c:v>
                </c:pt>
                <c:pt idx="298">
                  <c:v>46006</c:v>
                </c:pt>
                <c:pt idx="299">
                  <c:v>46007</c:v>
                </c:pt>
                <c:pt idx="300">
                  <c:v>46008</c:v>
                </c:pt>
                <c:pt idx="301">
                  <c:v>46009</c:v>
                </c:pt>
                <c:pt idx="302">
                  <c:v>46010</c:v>
                </c:pt>
                <c:pt idx="303">
                  <c:v>46013</c:v>
                </c:pt>
                <c:pt idx="304">
                  <c:v>46014</c:v>
                </c:pt>
                <c:pt idx="305">
                  <c:v>46015</c:v>
                </c:pt>
                <c:pt idx="306">
                  <c:v>46017</c:v>
                </c:pt>
                <c:pt idx="307">
                  <c:v>46020</c:v>
                </c:pt>
                <c:pt idx="308">
                  <c:v>46021</c:v>
                </c:pt>
                <c:pt idx="309">
                  <c:v>46022</c:v>
                </c:pt>
                <c:pt idx="310">
                  <c:v>46024</c:v>
                </c:pt>
                <c:pt idx="311">
                  <c:v>46027</c:v>
                </c:pt>
                <c:pt idx="312">
                  <c:v>46028</c:v>
                </c:pt>
                <c:pt idx="313">
                  <c:v>46029</c:v>
                </c:pt>
                <c:pt idx="314">
                  <c:v>46030</c:v>
                </c:pt>
                <c:pt idx="315">
                  <c:v>46031</c:v>
                </c:pt>
                <c:pt idx="316">
                  <c:v>46034</c:v>
                </c:pt>
                <c:pt idx="317">
                  <c:v>46035</c:v>
                </c:pt>
                <c:pt idx="318">
                  <c:v>46036</c:v>
                </c:pt>
                <c:pt idx="319">
                  <c:v>46037</c:v>
                </c:pt>
                <c:pt idx="320">
                  <c:v>46038</c:v>
                </c:pt>
                <c:pt idx="321">
                  <c:v>46042</c:v>
                </c:pt>
                <c:pt idx="322">
                  <c:v>46043</c:v>
                </c:pt>
                <c:pt idx="323">
                  <c:v>46044</c:v>
                </c:pt>
                <c:pt idx="324">
                  <c:v>46045</c:v>
                </c:pt>
                <c:pt idx="325">
                  <c:v>46048</c:v>
                </c:pt>
                <c:pt idx="326">
                  <c:v>46049</c:v>
                </c:pt>
                <c:pt idx="327">
                  <c:v>46050</c:v>
                </c:pt>
                <c:pt idx="328">
                  <c:v>46051</c:v>
                </c:pt>
                <c:pt idx="329">
                  <c:v>46052</c:v>
                </c:pt>
                <c:pt idx="330">
                  <c:v>46055</c:v>
                </c:pt>
                <c:pt idx="331">
                  <c:v>46056</c:v>
                </c:pt>
                <c:pt idx="332">
                  <c:v>46057</c:v>
                </c:pt>
                <c:pt idx="333">
                  <c:v>46058</c:v>
                </c:pt>
                <c:pt idx="334">
                  <c:v>46059</c:v>
                </c:pt>
                <c:pt idx="335">
                  <c:v>46062</c:v>
                </c:pt>
                <c:pt idx="336">
                  <c:v>46063</c:v>
                </c:pt>
                <c:pt idx="337">
                  <c:v>46064</c:v>
                </c:pt>
                <c:pt idx="338">
                  <c:v>46065</c:v>
                </c:pt>
                <c:pt idx="339">
                  <c:v>46066</c:v>
                </c:pt>
                <c:pt idx="340">
                  <c:v>46070</c:v>
                </c:pt>
                <c:pt idx="341">
                  <c:v>46071</c:v>
                </c:pt>
                <c:pt idx="342">
                  <c:v>46072</c:v>
                </c:pt>
                <c:pt idx="343">
                  <c:v>46073</c:v>
                </c:pt>
                <c:pt idx="344">
                  <c:v>46076</c:v>
                </c:pt>
                <c:pt idx="345">
                  <c:v>46077</c:v>
                </c:pt>
                <c:pt idx="346">
                  <c:v>46078</c:v>
                </c:pt>
                <c:pt idx="347">
                  <c:v>46079</c:v>
                </c:pt>
                <c:pt idx="348">
                  <c:v>46080</c:v>
                </c:pt>
                <c:pt idx="349">
                  <c:v>46083</c:v>
                </c:pt>
                <c:pt idx="350">
                  <c:v>46084</c:v>
                </c:pt>
                <c:pt idx="351">
                  <c:v>46085</c:v>
                </c:pt>
                <c:pt idx="352">
                  <c:v>46086</c:v>
                </c:pt>
                <c:pt idx="353">
                  <c:v>46087</c:v>
                </c:pt>
                <c:pt idx="354">
                  <c:v>46090</c:v>
                </c:pt>
                <c:pt idx="355">
                  <c:v>46091</c:v>
                </c:pt>
                <c:pt idx="356">
                  <c:v>46092</c:v>
                </c:pt>
                <c:pt idx="357">
                  <c:v>46093</c:v>
                </c:pt>
                <c:pt idx="358">
                  <c:v>46094</c:v>
                </c:pt>
                <c:pt idx="359">
                  <c:v>46097</c:v>
                </c:pt>
                <c:pt idx="360">
                  <c:v>46098</c:v>
                </c:pt>
                <c:pt idx="361">
                  <c:v>46099</c:v>
                </c:pt>
                <c:pt idx="362">
                  <c:v>46100</c:v>
                </c:pt>
                <c:pt idx="363">
                  <c:v>46101</c:v>
                </c:pt>
                <c:pt idx="364">
                  <c:v>46104</c:v>
                </c:pt>
                <c:pt idx="365">
                  <c:v>46105</c:v>
                </c:pt>
                <c:pt idx="366">
                  <c:v>46106</c:v>
                </c:pt>
                <c:pt idx="367">
                  <c:v>46107</c:v>
                </c:pt>
                <c:pt idx="368">
                  <c:v>46108</c:v>
                </c:pt>
                <c:pt idx="369">
                  <c:v>46111</c:v>
                </c:pt>
                <c:pt idx="370">
                  <c:v>46112</c:v>
                </c:pt>
                <c:pt idx="371">
                  <c:v>46113</c:v>
                </c:pt>
                <c:pt idx="372">
                  <c:v>46114</c:v>
                </c:pt>
                <c:pt idx="373">
                  <c:v>46115</c:v>
                </c:pt>
                <c:pt idx="374">
                  <c:v>46118</c:v>
                </c:pt>
                <c:pt idx="375">
                  <c:v>46119</c:v>
                </c:pt>
                <c:pt idx="376">
                  <c:v>46120</c:v>
                </c:pt>
                <c:pt idx="377">
                  <c:v>46121</c:v>
                </c:pt>
                <c:pt idx="378">
                  <c:v>46122</c:v>
                </c:pt>
                <c:pt idx="379">
                  <c:v>46125</c:v>
                </c:pt>
                <c:pt idx="380">
                  <c:v>46126</c:v>
                </c:pt>
                <c:pt idx="381">
                  <c:v>46127</c:v>
                </c:pt>
                <c:pt idx="382">
                  <c:v>46128</c:v>
                </c:pt>
                <c:pt idx="383">
                  <c:v>46129</c:v>
                </c:pt>
                <c:pt idx="384">
                  <c:v>46132</c:v>
                </c:pt>
                <c:pt idx="385">
                  <c:v>46133</c:v>
                </c:pt>
                <c:pt idx="386">
                  <c:v>46134</c:v>
                </c:pt>
                <c:pt idx="387">
                  <c:v>46135</c:v>
                </c:pt>
                <c:pt idx="388">
                  <c:v>46136</c:v>
                </c:pt>
              </c:numCache>
            </c:numRef>
          </c:cat>
          <c:val>
            <c:numRef>
              <c:f>'Daily Price Data Analysis'!$D$2:$D$390</c:f>
              <c:numCache>
                <c:formatCode>_("$"* #,##0.00_);_("$"* \(#,##0.00\);_("$"* "-"??_);_(@_)</c:formatCode>
                <c:ptCount val="389"/>
                <c:pt idx="0">
                  <c:v>70.41</c:v>
                </c:pt>
                <c:pt idx="1">
                  <c:v>70.739999999999995</c:v>
                </c:pt>
                <c:pt idx="2">
                  <c:v>74.33</c:v>
                </c:pt>
                <c:pt idx="3">
                  <c:v>74.930000000000007</c:v>
                </c:pt>
                <c:pt idx="4">
                  <c:v>77.760000000000005</c:v>
                </c:pt>
                <c:pt idx="5">
                  <c:v>74.260000000000005</c:v>
                </c:pt>
                <c:pt idx="6">
                  <c:v>73.849999999999994</c:v>
                </c:pt>
                <c:pt idx="7">
                  <c:v>76.459999999999994</c:v>
                </c:pt>
                <c:pt idx="8">
                  <c:v>76.11</c:v>
                </c:pt>
                <c:pt idx="9">
                  <c:v>71.22</c:v>
                </c:pt>
                <c:pt idx="10">
                  <c:v>70.97</c:v>
                </c:pt>
                <c:pt idx="11">
                  <c:v>71.260000000000005</c:v>
                </c:pt>
                <c:pt idx="12">
                  <c:v>69.78</c:v>
                </c:pt>
                <c:pt idx="13">
                  <c:v>71.16</c:v>
                </c:pt>
                <c:pt idx="14">
                  <c:v>72.84</c:v>
                </c:pt>
                <c:pt idx="15">
                  <c:v>71.37</c:v>
                </c:pt>
                <c:pt idx="16">
                  <c:v>70.58</c:v>
                </c:pt>
                <c:pt idx="17">
                  <c:v>72.02</c:v>
                </c:pt>
                <c:pt idx="18">
                  <c:v>67.650000000000006</c:v>
                </c:pt>
                <c:pt idx="19">
                  <c:v>67.48</c:v>
                </c:pt>
                <c:pt idx="20">
                  <c:v>68.91</c:v>
                </c:pt>
                <c:pt idx="21">
                  <c:v>69.58</c:v>
                </c:pt>
                <c:pt idx="22">
                  <c:v>69.81</c:v>
                </c:pt>
                <c:pt idx="23">
                  <c:v>71.83</c:v>
                </c:pt>
                <c:pt idx="24">
                  <c:v>72.260000000000005</c:v>
                </c:pt>
                <c:pt idx="25">
                  <c:v>71.98</c:v>
                </c:pt>
                <c:pt idx="26">
                  <c:v>72.69</c:v>
                </c:pt>
                <c:pt idx="27">
                  <c:v>70.69</c:v>
                </c:pt>
                <c:pt idx="28">
                  <c:v>68.430000000000007</c:v>
                </c:pt>
                <c:pt idx="29">
                  <c:v>68.760000000000005</c:v>
                </c:pt>
                <c:pt idx="30">
                  <c:v>68.989999999999995</c:v>
                </c:pt>
                <c:pt idx="31">
                  <c:v>67.33</c:v>
                </c:pt>
                <c:pt idx="32">
                  <c:v>69.459999999999994</c:v>
                </c:pt>
                <c:pt idx="33">
                  <c:v>69.75</c:v>
                </c:pt>
                <c:pt idx="34">
                  <c:v>69.25</c:v>
                </c:pt>
                <c:pt idx="35">
                  <c:v>70.39</c:v>
                </c:pt>
                <c:pt idx="36">
                  <c:v>71.680000000000007</c:v>
                </c:pt>
                <c:pt idx="37">
                  <c:v>69.41</c:v>
                </c:pt>
                <c:pt idx="38">
                  <c:v>69.05</c:v>
                </c:pt>
                <c:pt idx="39">
                  <c:v>69.03</c:v>
                </c:pt>
                <c:pt idx="40">
                  <c:v>68.260000000000005</c:v>
                </c:pt>
                <c:pt idx="41">
                  <c:v>68.349999999999994</c:v>
                </c:pt>
                <c:pt idx="42">
                  <c:v>70.150000000000006</c:v>
                </c:pt>
                <c:pt idx="43">
                  <c:v>68.81</c:v>
                </c:pt>
                <c:pt idx="44">
                  <c:v>68.58</c:v>
                </c:pt>
                <c:pt idx="45">
                  <c:v>68.58</c:v>
                </c:pt>
                <c:pt idx="46">
                  <c:v>68.650000000000006</c:v>
                </c:pt>
                <c:pt idx="47">
                  <c:v>68.849999999999994</c:v>
                </c:pt>
                <c:pt idx="48">
                  <c:v>70.569999999999993</c:v>
                </c:pt>
                <c:pt idx="49">
                  <c:v>70.25</c:v>
                </c:pt>
                <c:pt idx="50">
                  <c:v>71.540000000000006</c:v>
                </c:pt>
                <c:pt idx="51">
                  <c:v>71.03</c:v>
                </c:pt>
                <c:pt idx="52">
                  <c:v>70.31</c:v>
                </c:pt>
                <c:pt idx="53">
                  <c:v>70.8</c:v>
                </c:pt>
                <c:pt idx="54">
                  <c:v>70.099999999999994</c:v>
                </c:pt>
                <c:pt idx="55">
                  <c:v>69.709999999999994</c:v>
                </c:pt>
                <c:pt idx="56">
                  <c:v>69.5</c:v>
                </c:pt>
                <c:pt idx="57">
                  <c:v>70.87</c:v>
                </c:pt>
                <c:pt idx="58">
                  <c:v>70.38</c:v>
                </c:pt>
                <c:pt idx="59">
                  <c:v>71.28</c:v>
                </c:pt>
                <c:pt idx="60">
                  <c:v>71.73</c:v>
                </c:pt>
                <c:pt idx="61">
                  <c:v>72.44</c:v>
                </c:pt>
                <c:pt idx="62">
                  <c:v>73.790000000000006</c:v>
                </c:pt>
                <c:pt idx="63">
                  <c:v>74.64</c:v>
                </c:pt>
                <c:pt idx="64">
                  <c:v>74.31</c:v>
                </c:pt>
                <c:pt idx="65">
                  <c:v>74.989999999999995</c:v>
                </c:pt>
                <c:pt idx="66">
                  <c:v>73.989999999999995</c:v>
                </c:pt>
                <c:pt idx="67">
                  <c:v>77.27</c:v>
                </c:pt>
                <c:pt idx="68">
                  <c:v>79.569999999999993</c:v>
                </c:pt>
                <c:pt idx="69">
                  <c:v>78.2</c:v>
                </c:pt>
                <c:pt idx="70">
                  <c:v>80.73</c:v>
                </c:pt>
                <c:pt idx="71">
                  <c:v>79.349999999999994</c:v>
                </c:pt>
                <c:pt idx="72">
                  <c:v>78.56</c:v>
                </c:pt>
                <c:pt idx="73">
                  <c:v>76.790000000000006</c:v>
                </c:pt>
                <c:pt idx="74">
                  <c:v>76.12</c:v>
                </c:pt>
                <c:pt idx="75">
                  <c:v>75.03</c:v>
                </c:pt>
                <c:pt idx="76">
                  <c:v>74.97</c:v>
                </c:pt>
                <c:pt idx="77">
                  <c:v>73.510000000000005</c:v>
                </c:pt>
                <c:pt idx="78">
                  <c:v>74.150000000000006</c:v>
                </c:pt>
                <c:pt idx="79">
                  <c:v>72.94</c:v>
                </c:pt>
                <c:pt idx="80">
                  <c:v>73.099999999999994</c:v>
                </c:pt>
                <c:pt idx="81">
                  <c:v>72.84</c:v>
                </c:pt>
                <c:pt idx="82">
                  <c:v>73.52</c:v>
                </c:pt>
                <c:pt idx="83">
                  <c:v>73.040000000000006</c:v>
                </c:pt>
                <c:pt idx="84">
                  <c:v>71.39</c:v>
                </c:pt>
                <c:pt idx="85">
                  <c:v>70.97</c:v>
                </c:pt>
                <c:pt idx="86">
                  <c:v>71.319999999999993</c:v>
                </c:pt>
                <c:pt idx="87">
                  <c:v>72.73</c:v>
                </c:pt>
                <c:pt idx="88">
                  <c:v>73.67</c:v>
                </c:pt>
                <c:pt idx="89">
                  <c:v>71.72</c:v>
                </c:pt>
                <c:pt idx="90">
                  <c:v>71.66</c:v>
                </c:pt>
                <c:pt idx="91">
                  <c:v>71.05</c:v>
                </c:pt>
                <c:pt idx="92">
                  <c:v>72.209999999999994</c:v>
                </c:pt>
                <c:pt idx="93">
                  <c:v>72.58</c:v>
                </c:pt>
                <c:pt idx="94">
                  <c:v>72.88</c:v>
                </c:pt>
                <c:pt idx="95">
                  <c:v>70.72</c:v>
                </c:pt>
                <c:pt idx="96">
                  <c:v>71.06</c:v>
                </c:pt>
                <c:pt idx="97">
                  <c:v>69.150000000000006</c:v>
                </c:pt>
                <c:pt idx="98">
                  <c:v>68.87</c:v>
                </c:pt>
                <c:pt idx="99">
                  <c:v>70.62</c:v>
                </c:pt>
                <c:pt idx="100">
                  <c:v>69.97</c:v>
                </c:pt>
                <c:pt idx="101">
                  <c:v>68.63</c:v>
                </c:pt>
                <c:pt idx="102">
                  <c:v>68.47</c:v>
                </c:pt>
                <c:pt idx="103">
                  <c:v>66.58</c:v>
                </c:pt>
                <c:pt idx="104">
                  <c:v>66.62</c:v>
                </c:pt>
                <c:pt idx="105">
                  <c:v>67.290000000000006</c:v>
                </c:pt>
                <c:pt idx="106">
                  <c:v>66.31</c:v>
                </c:pt>
                <c:pt idx="107">
                  <c:v>66.52</c:v>
                </c:pt>
                <c:pt idx="108">
                  <c:v>67.650000000000006</c:v>
                </c:pt>
                <c:pt idx="109">
                  <c:v>66.819999999999993</c:v>
                </c:pt>
                <c:pt idx="110">
                  <c:v>67.430000000000007</c:v>
                </c:pt>
                <c:pt idx="111">
                  <c:v>67.84</c:v>
                </c:pt>
                <c:pt idx="112">
                  <c:v>67.489999999999995</c:v>
                </c:pt>
                <c:pt idx="113">
                  <c:v>67.400000000000006</c:v>
                </c:pt>
                <c:pt idx="114">
                  <c:v>68.55</c:v>
                </c:pt>
                <c:pt idx="115">
                  <c:v>68.52</c:v>
                </c:pt>
                <c:pt idx="116">
                  <c:v>69.459999999999994</c:v>
                </c:pt>
                <c:pt idx="117">
                  <c:v>69.48</c:v>
                </c:pt>
                <c:pt idx="118">
                  <c:v>70.05</c:v>
                </c:pt>
                <c:pt idx="119">
                  <c:v>70.3</c:v>
                </c:pt>
                <c:pt idx="120">
                  <c:v>69.739999999999995</c:v>
                </c:pt>
                <c:pt idx="121">
                  <c:v>71.87</c:v>
                </c:pt>
                <c:pt idx="122">
                  <c:v>71.61</c:v>
                </c:pt>
                <c:pt idx="123">
                  <c:v>72.12</c:v>
                </c:pt>
                <c:pt idx="124">
                  <c:v>67.430000000000007</c:v>
                </c:pt>
                <c:pt idx="125">
                  <c:v>62.42</c:v>
                </c:pt>
                <c:pt idx="126">
                  <c:v>61.05</c:v>
                </c:pt>
                <c:pt idx="127">
                  <c:v>60.04</c:v>
                </c:pt>
                <c:pt idx="128">
                  <c:v>62.63</c:v>
                </c:pt>
                <c:pt idx="129">
                  <c:v>60.57</c:v>
                </c:pt>
                <c:pt idx="130">
                  <c:v>61.91</c:v>
                </c:pt>
                <c:pt idx="131">
                  <c:v>61.99</c:v>
                </c:pt>
                <c:pt idx="132">
                  <c:v>61.74</c:v>
                </c:pt>
                <c:pt idx="133">
                  <c:v>62.88</c:v>
                </c:pt>
                <c:pt idx="134">
                  <c:v>65.069999999999993</c:v>
                </c:pt>
                <c:pt idx="135">
                  <c:v>63.48</c:v>
                </c:pt>
                <c:pt idx="136">
                  <c:v>64.599999999999994</c:v>
                </c:pt>
                <c:pt idx="137">
                  <c:v>62.64</c:v>
                </c:pt>
                <c:pt idx="138">
                  <c:v>63.55</c:v>
                </c:pt>
                <c:pt idx="139">
                  <c:v>63.85</c:v>
                </c:pt>
                <c:pt idx="140">
                  <c:v>63.3</c:v>
                </c:pt>
                <c:pt idx="141">
                  <c:v>61.84</c:v>
                </c:pt>
                <c:pt idx="142">
                  <c:v>59.55</c:v>
                </c:pt>
                <c:pt idx="143">
                  <c:v>60.59</c:v>
                </c:pt>
                <c:pt idx="144">
                  <c:v>59.67</c:v>
                </c:pt>
                <c:pt idx="145">
                  <c:v>58.5</c:v>
                </c:pt>
                <c:pt idx="146">
                  <c:v>60.42</c:v>
                </c:pt>
                <c:pt idx="147">
                  <c:v>59.42</c:v>
                </c:pt>
                <c:pt idx="148">
                  <c:v>61.25</c:v>
                </c:pt>
                <c:pt idx="149">
                  <c:v>62.37</c:v>
                </c:pt>
                <c:pt idx="150">
                  <c:v>63.32</c:v>
                </c:pt>
                <c:pt idx="151">
                  <c:v>65.040000000000006</c:v>
                </c:pt>
                <c:pt idx="152">
                  <c:v>64.48</c:v>
                </c:pt>
                <c:pt idx="153">
                  <c:v>63.03</c:v>
                </c:pt>
                <c:pt idx="154">
                  <c:v>63.84</c:v>
                </c:pt>
                <c:pt idx="155">
                  <c:v>63.98</c:v>
                </c:pt>
                <c:pt idx="156">
                  <c:v>63.97</c:v>
                </c:pt>
                <c:pt idx="157">
                  <c:v>62.93</c:v>
                </c:pt>
                <c:pt idx="158">
                  <c:v>62.55</c:v>
                </c:pt>
                <c:pt idx="159">
                  <c:v>62.89</c:v>
                </c:pt>
                <c:pt idx="160">
                  <c:v>61.61</c:v>
                </c:pt>
                <c:pt idx="161">
                  <c:v>62.54</c:v>
                </c:pt>
                <c:pt idx="162">
                  <c:v>61.66</c:v>
                </c:pt>
                <c:pt idx="163">
                  <c:v>61.46</c:v>
                </c:pt>
                <c:pt idx="164">
                  <c:v>63.27</c:v>
                </c:pt>
                <c:pt idx="165">
                  <c:v>64.099999999999994</c:v>
                </c:pt>
                <c:pt idx="166">
                  <c:v>63.57</c:v>
                </c:pt>
                <c:pt idx="167">
                  <c:v>64.06</c:v>
                </c:pt>
                <c:pt idx="168">
                  <c:v>65.3</c:v>
                </c:pt>
                <c:pt idx="169">
                  <c:v>65.989999999999995</c:v>
                </c:pt>
                <c:pt idx="170">
                  <c:v>65.66</c:v>
                </c:pt>
                <c:pt idx="171">
                  <c:v>68.91</c:v>
                </c:pt>
                <c:pt idx="172">
                  <c:v>68.73</c:v>
                </c:pt>
                <c:pt idx="173">
                  <c:v>73.84</c:v>
                </c:pt>
                <c:pt idx="174">
                  <c:v>72.53</c:v>
                </c:pt>
                <c:pt idx="175">
                  <c:v>75.62</c:v>
                </c:pt>
                <c:pt idx="176">
                  <c:v>75.89</c:v>
                </c:pt>
                <c:pt idx="177">
                  <c:v>75.72</c:v>
                </c:pt>
                <c:pt idx="178">
                  <c:v>69.36</c:v>
                </c:pt>
                <c:pt idx="179">
                  <c:v>65.45</c:v>
                </c:pt>
                <c:pt idx="180">
                  <c:v>65.98</c:v>
                </c:pt>
                <c:pt idx="181">
                  <c:v>66.44</c:v>
                </c:pt>
                <c:pt idx="182">
                  <c:v>66.66</c:v>
                </c:pt>
                <c:pt idx="183">
                  <c:v>66.3</c:v>
                </c:pt>
                <c:pt idx="184">
                  <c:v>66.64</c:v>
                </c:pt>
                <c:pt idx="185">
                  <c:v>68.66</c:v>
                </c:pt>
                <c:pt idx="186">
                  <c:v>68.13</c:v>
                </c:pt>
                <c:pt idx="187">
                  <c:v>69.16</c:v>
                </c:pt>
                <c:pt idx="188">
                  <c:v>69.55</c:v>
                </c:pt>
                <c:pt idx="189">
                  <c:v>69.61</c:v>
                </c:pt>
                <c:pt idx="190">
                  <c:v>67.78</c:v>
                </c:pt>
                <c:pt idx="191">
                  <c:v>69.63</c:v>
                </c:pt>
                <c:pt idx="192">
                  <c:v>68.19</c:v>
                </c:pt>
                <c:pt idx="193">
                  <c:v>67.760000000000005</c:v>
                </c:pt>
                <c:pt idx="194">
                  <c:v>67.13</c:v>
                </c:pt>
                <c:pt idx="195">
                  <c:v>68.760000000000005</c:v>
                </c:pt>
                <c:pt idx="196">
                  <c:v>68.53</c:v>
                </c:pt>
                <c:pt idx="197">
                  <c:v>68.39</c:v>
                </c:pt>
                <c:pt idx="198">
                  <c:v>67.56</c:v>
                </c:pt>
                <c:pt idx="199">
                  <c:v>66.05</c:v>
                </c:pt>
                <c:pt idx="200">
                  <c:v>67.16</c:v>
                </c:pt>
                <c:pt idx="201">
                  <c:v>66.38</c:v>
                </c:pt>
                <c:pt idx="202">
                  <c:v>67.81</c:v>
                </c:pt>
                <c:pt idx="203">
                  <c:v>70.27</c:v>
                </c:pt>
                <c:pt idx="204">
                  <c:v>71.09</c:v>
                </c:pt>
                <c:pt idx="205">
                  <c:v>70.36</c:v>
                </c:pt>
                <c:pt idx="206">
                  <c:v>68.39</c:v>
                </c:pt>
                <c:pt idx="207">
                  <c:v>67.33</c:v>
                </c:pt>
                <c:pt idx="208">
                  <c:v>66.2</c:v>
                </c:pt>
                <c:pt idx="209">
                  <c:v>65.38</c:v>
                </c:pt>
                <c:pt idx="210">
                  <c:v>64.900000000000006</c:v>
                </c:pt>
                <c:pt idx="211">
                  <c:v>64.94</c:v>
                </c:pt>
                <c:pt idx="212">
                  <c:v>65.03</c:v>
                </c:pt>
                <c:pt idx="213">
                  <c:v>64.22</c:v>
                </c:pt>
                <c:pt idx="214">
                  <c:v>63.68</c:v>
                </c:pt>
                <c:pt idx="215">
                  <c:v>64.989999999999995</c:v>
                </c:pt>
                <c:pt idx="216">
                  <c:v>63.78</c:v>
                </c:pt>
                <c:pt idx="217">
                  <c:v>64.510000000000005</c:v>
                </c:pt>
                <c:pt idx="218">
                  <c:v>63.38</c:v>
                </c:pt>
                <c:pt idx="219">
                  <c:v>64.19</c:v>
                </c:pt>
                <c:pt idx="220">
                  <c:v>64.56</c:v>
                </c:pt>
                <c:pt idx="221">
                  <c:v>64.08</c:v>
                </c:pt>
                <c:pt idx="222">
                  <c:v>65.180000000000007</c:v>
                </c:pt>
                <c:pt idx="223">
                  <c:v>63.6</c:v>
                </c:pt>
                <c:pt idx="224">
                  <c:v>64.489999999999995</c:v>
                </c:pt>
                <c:pt idx="225">
                  <c:v>64.959999999999994</c:v>
                </c:pt>
                <c:pt idx="226">
                  <c:v>64.36</c:v>
                </c:pt>
                <c:pt idx="227">
                  <c:v>65.95</c:v>
                </c:pt>
                <c:pt idx="228">
                  <c:v>64.36</c:v>
                </c:pt>
                <c:pt idx="229">
                  <c:v>63.81</c:v>
                </c:pt>
                <c:pt idx="230">
                  <c:v>62.22</c:v>
                </c:pt>
                <c:pt idx="231">
                  <c:v>62.6</c:v>
                </c:pt>
                <c:pt idx="232">
                  <c:v>62.97</c:v>
                </c:pt>
                <c:pt idx="233">
                  <c:v>64.010000000000005</c:v>
                </c:pt>
                <c:pt idx="234">
                  <c:v>62.71</c:v>
                </c:pt>
                <c:pt idx="235">
                  <c:v>63.02</c:v>
                </c:pt>
                <c:pt idx="236">
                  <c:v>63.66</c:v>
                </c:pt>
                <c:pt idx="237">
                  <c:v>64.89</c:v>
                </c:pt>
                <c:pt idx="238">
                  <c:v>64.41</c:v>
                </c:pt>
                <c:pt idx="239">
                  <c:v>63.91</c:v>
                </c:pt>
                <c:pt idx="240">
                  <c:v>63.02</c:v>
                </c:pt>
                <c:pt idx="241">
                  <c:v>62.99</c:v>
                </c:pt>
                <c:pt idx="242">
                  <c:v>63.76</c:v>
                </c:pt>
                <c:pt idx="243">
                  <c:v>65.400000000000006</c:v>
                </c:pt>
                <c:pt idx="244">
                  <c:v>65.510000000000005</c:v>
                </c:pt>
                <c:pt idx="245">
                  <c:v>66.5</c:v>
                </c:pt>
                <c:pt idx="246">
                  <c:v>64.27</c:v>
                </c:pt>
                <c:pt idx="247">
                  <c:v>63.17</c:v>
                </c:pt>
                <c:pt idx="248">
                  <c:v>62.59</c:v>
                </c:pt>
                <c:pt idx="249">
                  <c:v>61.28</c:v>
                </c:pt>
                <c:pt idx="250">
                  <c:v>61.65</c:v>
                </c:pt>
                <c:pt idx="251">
                  <c:v>62.49</c:v>
                </c:pt>
                <c:pt idx="252">
                  <c:v>62.52</c:v>
                </c:pt>
                <c:pt idx="253">
                  <c:v>63.37</c:v>
                </c:pt>
                <c:pt idx="254">
                  <c:v>62.36</c:v>
                </c:pt>
                <c:pt idx="255">
                  <c:v>59.75</c:v>
                </c:pt>
                <c:pt idx="256">
                  <c:v>59.52</c:v>
                </c:pt>
                <c:pt idx="257">
                  <c:v>59.08</c:v>
                </c:pt>
                <c:pt idx="258">
                  <c:v>58.29</c:v>
                </c:pt>
                <c:pt idx="259">
                  <c:v>58.3</c:v>
                </c:pt>
                <c:pt idx="260">
                  <c:v>58.34</c:v>
                </c:pt>
                <c:pt idx="261">
                  <c:v>58.66</c:v>
                </c:pt>
                <c:pt idx="262">
                  <c:v>59.3</c:v>
                </c:pt>
                <c:pt idx="263">
                  <c:v>62.44</c:v>
                </c:pt>
                <c:pt idx="264">
                  <c:v>62.27</c:v>
                </c:pt>
                <c:pt idx="265">
                  <c:v>62.13</c:v>
                </c:pt>
                <c:pt idx="266">
                  <c:v>60.97</c:v>
                </c:pt>
                <c:pt idx="267">
                  <c:v>61.26</c:v>
                </c:pt>
                <c:pt idx="268">
                  <c:v>61.36</c:v>
                </c:pt>
                <c:pt idx="269">
                  <c:v>61.75</c:v>
                </c:pt>
                <c:pt idx="270">
                  <c:v>61.79</c:v>
                </c:pt>
                <c:pt idx="271">
                  <c:v>61.38</c:v>
                </c:pt>
                <c:pt idx="272">
                  <c:v>60.4</c:v>
                </c:pt>
                <c:pt idx="273">
                  <c:v>60.24</c:v>
                </c:pt>
                <c:pt idx="274">
                  <c:v>60.54</c:v>
                </c:pt>
                <c:pt idx="275">
                  <c:v>60.94</c:v>
                </c:pt>
                <c:pt idx="276">
                  <c:v>59.3</c:v>
                </c:pt>
                <c:pt idx="277">
                  <c:v>59.54</c:v>
                </c:pt>
                <c:pt idx="278">
                  <c:v>60.87</c:v>
                </c:pt>
                <c:pt idx="279">
                  <c:v>60.66</c:v>
                </c:pt>
                <c:pt idx="280">
                  <c:v>61.51</c:v>
                </c:pt>
                <c:pt idx="281">
                  <c:v>60.27</c:v>
                </c:pt>
                <c:pt idx="282">
                  <c:v>60.07</c:v>
                </c:pt>
                <c:pt idx="283">
                  <c:v>58.86</c:v>
                </c:pt>
                <c:pt idx="284">
                  <c:v>59.11</c:v>
                </c:pt>
                <c:pt idx="285">
                  <c:v>58.25</c:v>
                </c:pt>
                <c:pt idx="286">
                  <c:v>58.81</c:v>
                </c:pt>
                <c:pt idx="287">
                  <c:v>58.58</c:v>
                </c:pt>
                <c:pt idx="288">
                  <c:v>59.47</c:v>
                </c:pt>
                <c:pt idx="289">
                  <c:v>58.81</c:v>
                </c:pt>
                <c:pt idx="290">
                  <c:v>59.09</c:v>
                </c:pt>
                <c:pt idx="291">
                  <c:v>59.82</c:v>
                </c:pt>
                <c:pt idx="292">
                  <c:v>60.23</c:v>
                </c:pt>
                <c:pt idx="293">
                  <c:v>59.04</c:v>
                </c:pt>
                <c:pt idx="294">
                  <c:v>58.4</c:v>
                </c:pt>
                <c:pt idx="295">
                  <c:v>58.67</c:v>
                </c:pt>
                <c:pt idx="296">
                  <c:v>57.76</c:v>
                </c:pt>
                <c:pt idx="297">
                  <c:v>57.61</c:v>
                </c:pt>
                <c:pt idx="298">
                  <c:v>56.97</c:v>
                </c:pt>
                <c:pt idx="299">
                  <c:v>55.44</c:v>
                </c:pt>
                <c:pt idx="300">
                  <c:v>56.07</c:v>
                </c:pt>
                <c:pt idx="301">
                  <c:v>56.22</c:v>
                </c:pt>
                <c:pt idx="302">
                  <c:v>56.8</c:v>
                </c:pt>
                <c:pt idx="303">
                  <c:v>58.18</c:v>
                </c:pt>
                <c:pt idx="304">
                  <c:v>58.55</c:v>
                </c:pt>
                <c:pt idx="305">
                  <c:v>58.72</c:v>
                </c:pt>
                <c:pt idx="306">
                  <c:v>56.6</c:v>
                </c:pt>
                <c:pt idx="307">
                  <c:v>57.89</c:v>
                </c:pt>
                <c:pt idx="308">
                  <c:v>57.79</c:v>
                </c:pt>
                <c:pt idx="309">
                  <c:v>57.26</c:v>
                </c:pt>
                <c:pt idx="310">
                  <c:v>57.21</c:v>
                </c:pt>
                <c:pt idx="311">
                  <c:v>58.1</c:v>
                </c:pt>
                <c:pt idx="312">
                  <c:v>56.97</c:v>
                </c:pt>
                <c:pt idx="313">
                  <c:v>56.01</c:v>
                </c:pt>
                <c:pt idx="314">
                  <c:v>57.74</c:v>
                </c:pt>
                <c:pt idx="315">
                  <c:v>58.96</c:v>
                </c:pt>
                <c:pt idx="316">
                  <c:v>59.39</c:v>
                </c:pt>
                <c:pt idx="317">
                  <c:v>60.85</c:v>
                </c:pt>
                <c:pt idx="318">
                  <c:v>61.84</c:v>
                </c:pt>
                <c:pt idx="319">
                  <c:v>59.13</c:v>
                </c:pt>
                <c:pt idx="320">
                  <c:v>59.4</c:v>
                </c:pt>
                <c:pt idx="321">
                  <c:v>60.3</c:v>
                </c:pt>
                <c:pt idx="322">
                  <c:v>60.38</c:v>
                </c:pt>
                <c:pt idx="323">
                  <c:v>59.24</c:v>
                </c:pt>
                <c:pt idx="324">
                  <c:v>60.7</c:v>
                </c:pt>
                <c:pt idx="325">
                  <c:v>60.46</c:v>
                </c:pt>
                <c:pt idx="326">
                  <c:v>62.04</c:v>
                </c:pt>
                <c:pt idx="327">
                  <c:v>62.75</c:v>
                </c:pt>
                <c:pt idx="328">
                  <c:v>64.77</c:v>
                </c:pt>
                <c:pt idx="329">
                  <c:v>64.5</c:v>
                </c:pt>
                <c:pt idx="330">
                  <c:v>61.6</c:v>
                </c:pt>
                <c:pt idx="331">
                  <c:v>62.62</c:v>
                </c:pt>
                <c:pt idx="332">
                  <c:v>64.56</c:v>
                </c:pt>
                <c:pt idx="333">
                  <c:v>62.9</c:v>
                </c:pt>
                <c:pt idx="334">
                  <c:v>63.77</c:v>
                </c:pt>
                <c:pt idx="335">
                  <c:v>64.53</c:v>
                </c:pt>
                <c:pt idx="336">
                  <c:v>64.2</c:v>
                </c:pt>
                <c:pt idx="337">
                  <c:v>64.8</c:v>
                </c:pt>
                <c:pt idx="338">
                  <c:v>63.08</c:v>
                </c:pt>
                <c:pt idx="339">
                  <c:v>63.05</c:v>
                </c:pt>
                <c:pt idx="340">
                  <c:v>62.53</c:v>
                </c:pt>
                <c:pt idx="341">
                  <c:v>65.33</c:v>
                </c:pt>
                <c:pt idx="342">
                  <c:v>66.66</c:v>
                </c:pt>
                <c:pt idx="343">
                  <c:v>66.69</c:v>
                </c:pt>
                <c:pt idx="344">
                  <c:v>66.36</c:v>
                </c:pt>
                <c:pt idx="345">
                  <c:v>65.62</c:v>
                </c:pt>
                <c:pt idx="346">
                  <c:v>65.3</c:v>
                </c:pt>
                <c:pt idx="347">
                  <c:v>65.099999999999994</c:v>
                </c:pt>
                <c:pt idx="348">
                  <c:v>66.959999999999994</c:v>
                </c:pt>
                <c:pt idx="349">
                  <c:v>71.13</c:v>
                </c:pt>
                <c:pt idx="350">
                  <c:v>74.48</c:v>
                </c:pt>
                <c:pt idx="351">
                  <c:v>74.58</c:v>
                </c:pt>
                <c:pt idx="352">
                  <c:v>80.88</c:v>
                </c:pt>
                <c:pt idx="353">
                  <c:v>90.77</c:v>
                </c:pt>
                <c:pt idx="354">
                  <c:v>94.65</c:v>
                </c:pt>
                <c:pt idx="355">
                  <c:v>83.71</c:v>
                </c:pt>
                <c:pt idx="356">
                  <c:v>86.8</c:v>
                </c:pt>
                <c:pt idx="357">
                  <c:v>95.61</c:v>
                </c:pt>
                <c:pt idx="358">
                  <c:v>98.48</c:v>
                </c:pt>
                <c:pt idx="359">
                  <c:v>93.39</c:v>
                </c:pt>
                <c:pt idx="360">
                  <c:v>96.01</c:v>
                </c:pt>
                <c:pt idx="361">
                  <c:v>96.12</c:v>
                </c:pt>
                <c:pt idx="362">
                  <c:v>96.11</c:v>
                </c:pt>
                <c:pt idx="363">
                  <c:v>98.71</c:v>
                </c:pt>
                <c:pt idx="364">
                  <c:v>89.33</c:v>
                </c:pt>
                <c:pt idx="365">
                  <c:v>93.18</c:v>
                </c:pt>
                <c:pt idx="366">
                  <c:v>91.51</c:v>
                </c:pt>
                <c:pt idx="367">
                  <c:v>96.18</c:v>
                </c:pt>
                <c:pt idx="368">
                  <c:v>101.26</c:v>
                </c:pt>
                <c:pt idx="369">
                  <c:v>104.69</c:v>
                </c:pt>
                <c:pt idx="370">
                  <c:v>102.86</c:v>
                </c:pt>
                <c:pt idx="371">
                  <c:v>101.9</c:v>
                </c:pt>
                <c:pt idx="372">
                  <c:v>113.23</c:v>
                </c:pt>
                <c:pt idx="373">
                  <c:v>111.54</c:v>
                </c:pt>
                <c:pt idx="374">
                  <c:v>114.01</c:v>
                </c:pt>
                <c:pt idx="375">
                  <c:v>114.58</c:v>
                </c:pt>
                <c:pt idx="376">
                  <c:v>96.17</c:v>
                </c:pt>
                <c:pt idx="377">
                  <c:v>99.62</c:v>
                </c:pt>
                <c:pt idx="378">
                  <c:v>98.34</c:v>
                </c:pt>
                <c:pt idx="379">
                  <c:v>100.72</c:v>
                </c:pt>
                <c:pt idx="380">
                  <c:v>92.1</c:v>
                </c:pt>
                <c:pt idx="381">
                  <c:v>93.04</c:v>
                </c:pt>
                <c:pt idx="382">
                  <c:v>100.72</c:v>
                </c:pt>
                <c:pt idx="383">
                  <c:v>83.99</c:v>
                </c:pt>
                <c:pt idx="384">
                  <c:v>87.56</c:v>
                </c:pt>
                <c:pt idx="385">
                  <c:v>90</c:v>
                </c:pt>
                <c:pt idx="386">
                  <c:v>91.4</c:v>
                </c:pt>
                <c:pt idx="387">
                  <c:v>95.85</c:v>
                </c:pt>
                <c:pt idx="388">
                  <c:v>94.4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12-4EAE-B723-F54E8AEBF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976064"/>
        <c:axId val="453967904"/>
      </c:lineChart>
      <c:dateAx>
        <c:axId val="453976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5086053284435329"/>
              <c:y val="0.929036576849912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m\ d\,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967904"/>
        <c:crosses val="autoZero"/>
        <c:auto val="1"/>
        <c:lblOffset val="100"/>
        <c:baseTimeUnit val="days"/>
      </c:dateAx>
      <c:valAx>
        <c:axId val="45396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WTI</a:t>
                </a:r>
                <a:r>
                  <a:rPr lang="en-US" baseline="0"/>
                  <a:t> Close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97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'Daily Price Data Analysis'!$J$32:$J$44</c:f>
              <c:numCache>
                <c:formatCode>_("$"* #,##0_);_("$"* \(#,##0\);_("$"* "-"??_);_(@_)</c:formatCode>
                <c:ptCount val="13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  <c:pt idx="9">
                  <c:v>100</c:v>
                </c:pt>
                <c:pt idx="10">
                  <c:v>105</c:v>
                </c:pt>
                <c:pt idx="11">
                  <c:v>110</c:v>
                </c:pt>
                <c:pt idx="12">
                  <c:v>115</c:v>
                </c:pt>
              </c:numCache>
            </c:numRef>
          </c:cat>
          <c:val>
            <c:numRef>
              <c:f>'Daily Price Data Analysis'!$K$32:$K$44</c:f>
              <c:numCache>
                <c:formatCode>General</c:formatCode>
                <c:ptCount val="13"/>
                <c:pt idx="0">
                  <c:v>50</c:v>
                </c:pt>
                <c:pt idx="1">
                  <c:v>116</c:v>
                </c:pt>
                <c:pt idx="2">
                  <c:v>97</c:v>
                </c:pt>
                <c:pt idx="3">
                  <c:v>74</c:v>
                </c:pt>
                <c:pt idx="4">
                  <c:v>14</c:v>
                </c:pt>
                <c:pt idx="5">
                  <c:v>4</c:v>
                </c:pt>
                <c:pt idx="6">
                  <c:v>3</c:v>
                </c:pt>
                <c:pt idx="7">
                  <c:v>10</c:v>
                </c:pt>
                <c:pt idx="8">
                  <c:v>11</c:v>
                </c:pt>
                <c:pt idx="9">
                  <c:v>6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3-5747-9FFA-5160405FF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95391"/>
        <c:axId val="53791807"/>
      </c:lineChart>
      <c:catAx>
        <c:axId val="53795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  <a:r>
                  <a:rPr lang="en-US" baseline="0"/>
                  <a:t> Bins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1807"/>
        <c:crosses val="autoZero"/>
        <c:auto val="1"/>
        <c:lblAlgn val="ctr"/>
        <c:lblOffset val="100"/>
        <c:noMultiLvlLbl val="0"/>
      </c:catAx>
      <c:valAx>
        <c:axId val="5379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Military</a:t>
            </a:r>
            <a:r>
              <a:rPr lang="en-US" baseline="0"/>
              <a:t> Escalation: Price Frequency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'Daily Price Data Analysis'!$J$56:$J$68</c:f>
              <c:numCache>
                <c:formatCode>_("$"* #,##0_);_("$"* \(#,##0\);_("$"* "-"??_);_(@_)</c:formatCode>
                <c:ptCount val="13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  <c:pt idx="9">
                  <c:v>100</c:v>
                </c:pt>
                <c:pt idx="10">
                  <c:v>105</c:v>
                </c:pt>
                <c:pt idx="11">
                  <c:v>110</c:v>
                </c:pt>
                <c:pt idx="12">
                  <c:v>115</c:v>
                </c:pt>
              </c:numCache>
            </c:numRef>
          </c:cat>
          <c:val>
            <c:numRef>
              <c:f>'Daily Price Data Analysis'!$K$56:$K$68</c:f>
              <c:numCache>
                <c:formatCode>General</c:formatCode>
                <c:ptCount val="13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7</c:v>
                </c:pt>
                <c:pt idx="8">
                  <c:v>10</c:v>
                </c:pt>
                <c:pt idx="9">
                  <c:v>5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64-A64B-B66F-C87AC2DD2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50655"/>
        <c:axId val="54533119"/>
      </c:lineChart>
      <c:catAx>
        <c:axId val="54350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  <a:r>
                  <a:rPr lang="en-US" baseline="0"/>
                  <a:t> Bins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3119"/>
        <c:crosses val="autoZero"/>
        <c:auto val="1"/>
        <c:lblAlgn val="ctr"/>
        <c:lblOffset val="100"/>
        <c:noMultiLvlLbl val="0"/>
      </c:catAx>
      <c:valAx>
        <c:axId val="5453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De-escalation</a:t>
            </a:r>
            <a:r>
              <a:rPr lang="en-US" baseline="0"/>
              <a:t>: Price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'Daily Price Data Analysis'!$J$80:$J$92</c:f>
              <c:numCache>
                <c:formatCode>_("$"* #,##0_);_("$"* \(#,##0\);_("$"* "-"??_);_(@_)</c:formatCode>
                <c:ptCount val="13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  <c:pt idx="9">
                  <c:v>100</c:v>
                </c:pt>
                <c:pt idx="10">
                  <c:v>105</c:v>
                </c:pt>
                <c:pt idx="11">
                  <c:v>110</c:v>
                </c:pt>
                <c:pt idx="12">
                  <c:v>115</c:v>
                </c:pt>
              </c:numCache>
            </c:numRef>
          </c:cat>
          <c:val>
            <c:numRef>
              <c:f>'Daily Price Data Analysis'!$K$80:$K$92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D-EE46-8169-595EF08D7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13311"/>
        <c:axId val="54014207"/>
      </c:lineChart>
      <c:catAx>
        <c:axId val="54013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  <a:r>
                  <a:rPr lang="en-US" baseline="0"/>
                  <a:t> Bins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4207"/>
        <c:crosses val="autoZero"/>
        <c:auto val="1"/>
        <c:lblAlgn val="ctr"/>
        <c:lblOffset val="100"/>
        <c:noMultiLvlLbl val="0"/>
      </c:catAx>
      <c:valAx>
        <c:axId val="5401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Policy</a:t>
            </a:r>
            <a:r>
              <a:rPr lang="en-US" baseline="0"/>
              <a:t> Uncertainty: Price Frequency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'Daily Price Data Analysis'!$J$104:$J$116</c:f>
              <c:numCache>
                <c:formatCode>_("$"* #,##0_);_("$"* \(#,##0\);_("$"* "-"??_);_(@_)</c:formatCode>
                <c:ptCount val="13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  <c:pt idx="9">
                  <c:v>100</c:v>
                </c:pt>
                <c:pt idx="10">
                  <c:v>105</c:v>
                </c:pt>
                <c:pt idx="11">
                  <c:v>110</c:v>
                </c:pt>
                <c:pt idx="12">
                  <c:v>115</c:v>
                </c:pt>
              </c:numCache>
            </c:numRef>
          </c:cat>
          <c:val>
            <c:numRef>
              <c:f>'Daily Price Data Analysis'!$K$104:$K$116</c:f>
              <c:numCache>
                <c:formatCode>General</c:formatCode>
                <c:ptCount val="13"/>
                <c:pt idx="0">
                  <c:v>40</c:v>
                </c:pt>
                <c:pt idx="1">
                  <c:v>80</c:v>
                </c:pt>
                <c:pt idx="2">
                  <c:v>38</c:v>
                </c:pt>
                <c:pt idx="3">
                  <c:v>27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69-B04A-AF28-E72CF8D58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70271"/>
        <c:axId val="54476095"/>
      </c:lineChart>
      <c:catAx>
        <c:axId val="5447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  <a:r>
                  <a:rPr lang="en-US" baseline="0"/>
                  <a:t> Bins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6095"/>
        <c:crosses val="autoZero"/>
        <c:auto val="1"/>
        <c:lblAlgn val="ctr"/>
        <c:lblOffset val="100"/>
        <c:noMultiLvlLbl val="0"/>
      </c:catAx>
      <c:valAx>
        <c:axId val="5447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Geopolitical</a:t>
            </a:r>
            <a:r>
              <a:rPr lang="en-US" baseline="0"/>
              <a:t> Tension: Price Frequency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'Daily Price Data Analysis'!$J$127:$J$139</c:f>
              <c:numCache>
                <c:formatCode>_("$"* #,##0_);_("$"* \(#,##0\);_("$"* "-"??_);_(@_)</c:formatCode>
                <c:ptCount val="13"/>
                <c:pt idx="0">
                  <c:v>55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  <c:pt idx="9">
                  <c:v>100</c:v>
                </c:pt>
                <c:pt idx="10">
                  <c:v>105</c:v>
                </c:pt>
                <c:pt idx="11">
                  <c:v>110</c:v>
                </c:pt>
                <c:pt idx="12">
                  <c:v>115</c:v>
                </c:pt>
              </c:numCache>
            </c:numRef>
          </c:cat>
          <c:val>
            <c:numRef>
              <c:f>'Daily Price Data Analysis'!$K$127:$K$139</c:f>
              <c:numCache>
                <c:formatCode>General</c:formatCode>
                <c:ptCount val="13"/>
                <c:pt idx="0">
                  <c:v>3</c:v>
                </c:pt>
                <c:pt idx="1">
                  <c:v>19</c:v>
                </c:pt>
                <c:pt idx="2">
                  <c:v>27</c:v>
                </c:pt>
                <c:pt idx="3">
                  <c:v>39</c:v>
                </c:pt>
                <c:pt idx="4">
                  <c:v>8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01-4245-93A0-F4457BF18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27743"/>
        <c:axId val="53902207"/>
      </c:lineChart>
      <c:catAx>
        <c:axId val="54527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  <a:r>
                  <a:rPr lang="en-US" baseline="0"/>
                  <a:t> Bins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207"/>
        <c:crosses val="autoZero"/>
        <c:auto val="1"/>
        <c:lblAlgn val="ctr"/>
        <c:lblOffset val="100"/>
        <c:noMultiLvlLbl val="0"/>
      </c:catAx>
      <c:valAx>
        <c:axId val="5390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11</xdr:row>
      <xdr:rowOff>95250</xdr:rowOff>
    </xdr:from>
    <xdr:to>
      <xdr:col>13</xdr:col>
      <xdr:colOff>142875</xdr:colOff>
      <xdr:row>43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C2C5C-734E-DAB3-227D-E741B8DC1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714375</xdr:colOff>
      <xdr:row>0</xdr:row>
      <xdr:rowOff>47625</xdr:rowOff>
    </xdr:from>
    <xdr:to>
      <xdr:col>13</xdr:col>
      <xdr:colOff>752475</xdr:colOff>
      <xdr:row>21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E689E2-FE85-436C-A565-375C55709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22</xdr:row>
      <xdr:rowOff>171450</xdr:rowOff>
    </xdr:from>
    <xdr:to>
      <xdr:col>16</xdr:col>
      <xdr:colOff>139700</xdr:colOff>
      <xdr:row>44</xdr:row>
      <xdr:rowOff>0</xdr:rowOff>
    </xdr:to>
    <xdr:graphicFrame macro="">
      <xdr:nvGraphicFramePr>
        <xdr:cNvPr id="86" name="Chart 8">
          <a:extLst>
            <a:ext uri="{FF2B5EF4-FFF2-40B4-BE49-F238E27FC236}">
              <a16:creationId xmlns:a16="http://schemas.microsoft.com/office/drawing/2014/main" id="{3193B646-44B2-8894-0DBE-C387FDA6D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342900</xdr:colOff>
      <xdr:row>46</xdr:row>
      <xdr:rowOff>184150</xdr:rowOff>
    </xdr:from>
    <xdr:to>
      <xdr:col>16</xdr:col>
      <xdr:colOff>101600</xdr:colOff>
      <xdr:row>68</xdr:row>
      <xdr:rowOff>38100</xdr:rowOff>
    </xdr:to>
    <xdr:graphicFrame macro="">
      <xdr:nvGraphicFramePr>
        <xdr:cNvPr id="195" name="Chart 9">
          <a:extLst>
            <a:ext uri="{FF2B5EF4-FFF2-40B4-BE49-F238E27FC236}">
              <a16:creationId xmlns:a16="http://schemas.microsoft.com/office/drawing/2014/main" id="{F2589D65-D07B-DA40-83E0-718A6BFBA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361950</xdr:colOff>
      <xdr:row>70</xdr:row>
      <xdr:rowOff>133350</xdr:rowOff>
    </xdr:from>
    <xdr:to>
      <xdr:col>16</xdr:col>
      <xdr:colOff>381000</xdr:colOff>
      <xdr:row>91</xdr:row>
      <xdr:rowOff>177800</xdr:rowOff>
    </xdr:to>
    <xdr:graphicFrame macro="">
      <xdr:nvGraphicFramePr>
        <xdr:cNvPr id="289" name="Chart 10">
          <a:extLst>
            <a:ext uri="{FF2B5EF4-FFF2-40B4-BE49-F238E27FC236}">
              <a16:creationId xmlns:a16="http://schemas.microsoft.com/office/drawing/2014/main" id="{5107E7EA-6341-3591-7414-C8B12BCE2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387350</xdr:colOff>
      <xdr:row>95</xdr:row>
      <xdr:rowOff>19050</xdr:rowOff>
    </xdr:from>
    <xdr:to>
      <xdr:col>16</xdr:col>
      <xdr:colOff>571500</xdr:colOff>
      <xdr:row>116</xdr:row>
      <xdr:rowOff>50800</xdr:rowOff>
    </xdr:to>
    <xdr:graphicFrame macro="">
      <xdr:nvGraphicFramePr>
        <xdr:cNvPr id="377" name="Chart 11">
          <a:extLst>
            <a:ext uri="{FF2B5EF4-FFF2-40B4-BE49-F238E27FC236}">
              <a16:creationId xmlns:a16="http://schemas.microsoft.com/office/drawing/2014/main" id="{28CCBE39-1771-455F-C6AD-3D70360C2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425450</xdr:colOff>
      <xdr:row>118</xdr:row>
      <xdr:rowOff>44450</xdr:rowOff>
    </xdr:from>
    <xdr:to>
      <xdr:col>16</xdr:col>
      <xdr:colOff>584200</xdr:colOff>
      <xdr:row>139</xdr:row>
      <xdr:rowOff>76200</xdr:rowOff>
    </xdr:to>
    <xdr:graphicFrame macro="">
      <xdr:nvGraphicFramePr>
        <xdr:cNvPr id="464" name="Chart 13">
          <a:extLst>
            <a:ext uri="{FF2B5EF4-FFF2-40B4-BE49-F238E27FC236}">
              <a16:creationId xmlns:a16="http://schemas.microsoft.com/office/drawing/2014/main" id="{0075FA3D-923F-FFC7-2DF4-C978D9C21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li Gay" refreshedDate="46137.715342824071" createdVersion="8" refreshedVersion="8" minRefreshableVersion="3" recordCount="389" xr:uid="{A51C33DD-04B6-4A7F-822B-8AB933D4573B}">
  <cacheSource type="worksheet">
    <worksheetSource name="Table1"/>
  </cacheSource>
  <cacheFields count="8">
    <cacheField name="Date" numFmtId="164">
      <sharedItems containsSemiMixedTypes="0" containsNonDate="0" containsDate="1" containsString="0" minDate="2024-10-01T00:00:00" maxDate="2026-04-25T00:00:00"/>
    </cacheField>
    <cacheField name="Event Category" numFmtId="164">
      <sharedItems count="4">
        <s v="Geopolitical Tension"/>
        <s v="Policy Uncertainty"/>
        <s v="Military Escalation"/>
        <s v="De-escalation"/>
      </sharedItems>
    </cacheField>
    <cacheField name="Event Description" numFmtId="0">
      <sharedItems containsBlank="1"/>
    </cacheField>
    <cacheField name="WTI Close" numFmtId="0">
      <sharedItems containsSemiMixedTypes="0" containsString="0" containsNumber="1" minValue="55.44" maxValue="114.58" count="369">
        <n v="70.41"/>
        <n v="70.739999999999995"/>
        <n v="74.33"/>
        <n v="74.930000000000007"/>
        <n v="77.760000000000005"/>
        <n v="74.260000000000005"/>
        <n v="73.849999999999994"/>
        <n v="76.459999999999994"/>
        <n v="76.11"/>
        <n v="71.22"/>
        <n v="70.97"/>
        <n v="71.260000000000005"/>
        <n v="69.78"/>
        <n v="71.16"/>
        <n v="72.84"/>
        <n v="71.37"/>
        <n v="70.58"/>
        <n v="72.02"/>
        <n v="67.650000000000006"/>
        <n v="67.48"/>
        <n v="68.91"/>
        <n v="69.58"/>
        <n v="69.81"/>
        <n v="71.83"/>
        <n v="72.260000000000005"/>
        <n v="71.98"/>
        <n v="72.69"/>
        <n v="70.69"/>
        <n v="68.430000000000007"/>
        <n v="68.760000000000005"/>
        <n v="68.989999999999995"/>
        <n v="67.33"/>
        <n v="69.459999999999994"/>
        <n v="69.75"/>
        <n v="69.25"/>
        <n v="70.39"/>
        <n v="71.680000000000007"/>
        <n v="69.41"/>
        <n v="69.05"/>
        <n v="69.03"/>
        <n v="68.260000000000005"/>
        <n v="68.349999999999994"/>
        <n v="70.150000000000006"/>
        <n v="68.81"/>
        <n v="68.58"/>
        <n v="68.650000000000006"/>
        <n v="68.849999999999994"/>
        <n v="70.569999999999993"/>
        <n v="70.25"/>
        <n v="71.540000000000006"/>
        <n v="71.03"/>
        <n v="70.31"/>
        <n v="70.8"/>
        <n v="70.099999999999994"/>
        <n v="69.709999999999994"/>
        <n v="69.5"/>
        <n v="70.87"/>
        <n v="70.38"/>
        <n v="71.28"/>
        <n v="71.73"/>
        <n v="72.44"/>
        <n v="73.790000000000006"/>
        <n v="74.64"/>
        <n v="74.31"/>
        <n v="74.989999999999995"/>
        <n v="73.989999999999995"/>
        <n v="77.27"/>
        <n v="79.569999999999993"/>
        <n v="78.2"/>
        <n v="80.73"/>
        <n v="79.349999999999994"/>
        <n v="78.56"/>
        <n v="76.790000000000006"/>
        <n v="76.12"/>
        <n v="75.03"/>
        <n v="74.97"/>
        <n v="73.510000000000005"/>
        <n v="74.150000000000006"/>
        <n v="72.94"/>
        <n v="73.099999999999994"/>
        <n v="73.52"/>
        <n v="73.040000000000006"/>
        <n v="71.39"/>
        <n v="71.319999999999993"/>
        <n v="72.73"/>
        <n v="73.67"/>
        <n v="71.72"/>
        <n v="71.66"/>
        <n v="71.05"/>
        <n v="72.209999999999994"/>
        <n v="72.58"/>
        <n v="72.88"/>
        <n v="70.72"/>
        <n v="71.06"/>
        <n v="69.150000000000006"/>
        <n v="68.87"/>
        <n v="70.62"/>
        <n v="69.97"/>
        <n v="68.63"/>
        <n v="68.47"/>
        <n v="66.58"/>
        <n v="66.62"/>
        <n v="67.290000000000006"/>
        <n v="66.31"/>
        <n v="66.52"/>
        <n v="66.819999999999993"/>
        <n v="67.430000000000007"/>
        <n v="67.84"/>
        <n v="67.489999999999995"/>
        <n v="67.400000000000006"/>
        <n v="68.55"/>
        <n v="68.52"/>
        <n v="69.48"/>
        <n v="70.05"/>
        <n v="70.3"/>
        <n v="69.739999999999995"/>
        <n v="71.87"/>
        <n v="71.61"/>
        <n v="72.12"/>
        <n v="62.42"/>
        <n v="61.05"/>
        <n v="60.04"/>
        <n v="62.63"/>
        <n v="60.57"/>
        <n v="61.91"/>
        <n v="61.99"/>
        <n v="61.74"/>
        <n v="62.88"/>
        <n v="65.069999999999993"/>
        <n v="63.48"/>
        <n v="64.599999999999994"/>
        <n v="62.64"/>
        <n v="63.55"/>
        <n v="63.85"/>
        <n v="63.3"/>
        <n v="61.84"/>
        <n v="59.55"/>
        <n v="60.59"/>
        <n v="59.67"/>
        <n v="58.5"/>
        <n v="60.42"/>
        <n v="59.42"/>
        <n v="61.25"/>
        <n v="62.37"/>
        <n v="63.32"/>
        <n v="65.040000000000006"/>
        <n v="64.48"/>
        <n v="63.03"/>
        <n v="63.84"/>
        <n v="63.98"/>
        <n v="63.97"/>
        <n v="62.93"/>
        <n v="62.55"/>
        <n v="62.89"/>
        <n v="61.61"/>
        <n v="62.54"/>
        <n v="61.66"/>
        <n v="61.46"/>
        <n v="63.27"/>
        <n v="64.099999999999994"/>
        <n v="63.57"/>
        <n v="64.06"/>
        <n v="65.3"/>
        <n v="65.989999999999995"/>
        <n v="65.66"/>
        <n v="68.73"/>
        <n v="73.84"/>
        <n v="72.53"/>
        <n v="75.62"/>
        <n v="75.89"/>
        <n v="75.72"/>
        <n v="69.36"/>
        <n v="65.45"/>
        <n v="65.98"/>
        <n v="66.44"/>
        <n v="66.66"/>
        <n v="66.3"/>
        <n v="66.64"/>
        <n v="68.66"/>
        <n v="68.13"/>
        <n v="69.16"/>
        <n v="69.55"/>
        <n v="69.61"/>
        <n v="67.78"/>
        <n v="69.63"/>
        <n v="68.19"/>
        <n v="67.760000000000005"/>
        <n v="67.13"/>
        <n v="68.53"/>
        <n v="68.39"/>
        <n v="67.56"/>
        <n v="66.05"/>
        <n v="67.16"/>
        <n v="66.38"/>
        <n v="67.81"/>
        <n v="70.27"/>
        <n v="71.09"/>
        <n v="70.36"/>
        <n v="66.2"/>
        <n v="65.38"/>
        <n v="64.900000000000006"/>
        <n v="64.94"/>
        <n v="65.03"/>
        <n v="64.22"/>
        <n v="63.68"/>
        <n v="64.989999999999995"/>
        <n v="63.78"/>
        <n v="64.510000000000005"/>
        <n v="63.38"/>
        <n v="64.19"/>
        <n v="64.56"/>
        <n v="64.08"/>
        <n v="65.180000000000007"/>
        <n v="63.6"/>
        <n v="64.489999999999995"/>
        <n v="64.959999999999994"/>
        <n v="64.36"/>
        <n v="65.95"/>
        <n v="63.81"/>
        <n v="62.22"/>
        <n v="62.6"/>
        <n v="62.97"/>
        <n v="64.010000000000005"/>
        <n v="62.71"/>
        <n v="63.02"/>
        <n v="63.66"/>
        <n v="64.89"/>
        <n v="64.41"/>
        <n v="63.91"/>
        <n v="62.99"/>
        <n v="63.76"/>
        <n v="65.400000000000006"/>
        <n v="65.510000000000005"/>
        <n v="66.5"/>
        <n v="64.27"/>
        <n v="63.17"/>
        <n v="62.59"/>
        <n v="61.28"/>
        <n v="61.65"/>
        <n v="62.49"/>
        <n v="62.52"/>
        <n v="63.37"/>
        <n v="62.36"/>
        <n v="59.75"/>
        <n v="59.52"/>
        <n v="59.08"/>
        <n v="58.29"/>
        <n v="58.3"/>
        <n v="58.34"/>
        <n v="58.66"/>
        <n v="59.3"/>
        <n v="62.44"/>
        <n v="62.27"/>
        <n v="62.13"/>
        <n v="60.97"/>
        <n v="61.26"/>
        <n v="61.36"/>
        <n v="61.75"/>
        <n v="61.79"/>
        <n v="61.38"/>
        <n v="60.4"/>
        <n v="60.24"/>
        <n v="60.54"/>
        <n v="60.94"/>
        <n v="59.54"/>
        <n v="60.87"/>
        <n v="60.66"/>
        <n v="61.51"/>
        <n v="60.27"/>
        <n v="60.07"/>
        <n v="58.86"/>
        <n v="59.11"/>
        <n v="58.25"/>
        <n v="58.81"/>
        <n v="58.58"/>
        <n v="59.47"/>
        <n v="59.09"/>
        <n v="59.82"/>
        <n v="60.23"/>
        <n v="59.04"/>
        <n v="58.4"/>
        <n v="58.67"/>
        <n v="57.76"/>
        <n v="57.61"/>
        <n v="56.97"/>
        <n v="55.44"/>
        <n v="56.07"/>
        <n v="56.22"/>
        <n v="56.8"/>
        <n v="58.18"/>
        <n v="58.55"/>
        <n v="58.72"/>
        <n v="56.6"/>
        <n v="57.89"/>
        <n v="57.79"/>
        <n v="57.26"/>
        <n v="57.21"/>
        <n v="58.1"/>
        <n v="56.01"/>
        <n v="57.74"/>
        <n v="58.96"/>
        <n v="59.39"/>
        <n v="60.85"/>
        <n v="59.13"/>
        <n v="59.4"/>
        <n v="60.3"/>
        <n v="60.38"/>
        <n v="59.24"/>
        <n v="60.7"/>
        <n v="60.46"/>
        <n v="62.04"/>
        <n v="62.75"/>
        <n v="64.77"/>
        <n v="64.5"/>
        <n v="61.6"/>
        <n v="62.62"/>
        <n v="62.9"/>
        <n v="63.77"/>
        <n v="64.53"/>
        <n v="64.2"/>
        <n v="64.8"/>
        <n v="63.08"/>
        <n v="63.05"/>
        <n v="62.53"/>
        <n v="65.33"/>
        <n v="66.69"/>
        <n v="66.36"/>
        <n v="65.62"/>
        <n v="65.099999999999994"/>
        <n v="66.959999999999994"/>
        <n v="71.13"/>
        <n v="74.48"/>
        <n v="74.58"/>
        <n v="80.88"/>
        <n v="90.77"/>
        <n v="94.65"/>
        <n v="83.71"/>
        <n v="86.8"/>
        <n v="95.61"/>
        <n v="98.48"/>
        <n v="93.39"/>
        <n v="96.01"/>
        <n v="96.12"/>
        <n v="96.11"/>
        <n v="98.71"/>
        <n v="89.33"/>
        <n v="93.18"/>
        <n v="91.51"/>
        <n v="96.18"/>
        <n v="101.26"/>
        <n v="104.69"/>
        <n v="102.86"/>
        <n v="101.9"/>
        <n v="113.23"/>
        <n v="111.54"/>
        <n v="114.01"/>
        <n v="114.58"/>
        <n v="96.17"/>
        <n v="99.62"/>
        <n v="98.34"/>
        <n v="100.72"/>
        <n v="92.1"/>
        <n v="93.04"/>
        <n v="83.99"/>
        <n v="87.56"/>
        <n v="90"/>
        <n v="91.4"/>
        <n v="95.85"/>
        <n v="94.4"/>
      </sharedItems>
    </cacheField>
    <cacheField name="Daily Chg(%)" numFmtId="0">
      <sharedItems containsString="0" containsBlank="1" containsNumber="1" minValue="-16.610405083399527" maxValue="12.227992087042534"/>
    </cacheField>
    <cacheField name="3-Day Chg(%)" numFmtId="0">
      <sharedItems containsString="0" containsBlank="1" containsNumber="1" minValue="-15.349417637271223" maxValue="26.910699919549486"/>
    </cacheField>
    <cacheField name="7-Day Chg (%)" numFmtId="0">
      <sharedItems containsString="0" containsBlank="1" containsNumber="1" minValue="-18.393123410227172" maxValue="45.391705069124441"/>
    </cacheField>
    <cacheField name="30-Day Chg (%)" numFmtId="0">
      <sharedItems containsString="0" containsBlank="1" containsNumber="1" minValue="-15.803108808290162" maxValue="76.0061443932411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d v="2024-10-01T00:00:00"/>
    <x v="0"/>
    <m/>
    <x v="0"/>
    <m/>
    <m/>
    <m/>
    <m/>
  </r>
  <r>
    <d v="2024-10-02T00:00:00"/>
    <x v="0"/>
    <m/>
    <x v="1"/>
    <n v="0.46868342564976329"/>
    <m/>
    <m/>
    <m/>
  </r>
  <r>
    <d v="2024-10-03T00:00:00"/>
    <x v="0"/>
    <m/>
    <x v="2"/>
    <n v="5.0749222504947751"/>
    <m/>
    <m/>
    <m/>
  </r>
  <r>
    <d v="2024-10-04T00:00:00"/>
    <x v="0"/>
    <m/>
    <x v="3"/>
    <n v="0.80721108569892175"/>
    <n v="6.4195426785968053"/>
    <m/>
    <m/>
  </r>
  <r>
    <d v="2024-10-07T00:00:00"/>
    <x v="0"/>
    <s v="1 year Hamas attack anniversary; Elevated regional risk premium"/>
    <x v="4"/>
    <n v="3.7768584011744268"/>
    <n v="9.9236641221374189"/>
    <m/>
    <m/>
  </r>
  <r>
    <d v="2024-10-08T00:00:00"/>
    <x v="0"/>
    <m/>
    <x v="5"/>
    <n v="-4.5010288065843618"/>
    <n v="-9.4174626664863689E-2"/>
    <m/>
    <m/>
  </r>
  <r>
    <d v="2024-10-09T00:00:00"/>
    <x v="0"/>
    <m/>
    <x v="6"/>
    <n v="-0.55211419337464418"/>
    <n v="-1.4413452555718835"/>
    <m/>
    <m/>
  </r>
  <r>
    <d v="2024-10-10T00:00:00"/>
    <x v="0"/>
    <m/>
    <x v="7"/>
    <n v="3.5341909275558558"/>
    <n v="-1.671810699588492"/>
    <n v="8.5925294702456991"/>
    <m/>
  </r>
  <r>
    <d v="2024-10-11T00:00:00"/>
    <x v="0"/>
    <m/>
    <x v="8"/>
    <n v="-0.45775568924927323"/>
    <n v="2.4912469701050286"/>
    <n v="7.5911789652247732"/>
    <m/>
  </r>
  <r>
    <d v="2024-10-15T00:00:00"/>
    <x v="0"/>
    <m/>
    <x v="9"/>
    <n v="-6.424911312573907"/>
    <n v="-3.5612728503723705"/>
    <n v="-4.1840441275393507"/>
    <m/>
  </r>
  <r>
    <d v="2024-10-16T00:00:00"/>
    <x v="0"/>
    <m/>
    <x v="10"/>
    <n v="-0.35102499297950013"/>
    <n v="-7.1802249542244247"/>
    <n v="-5.2849326037635231"/>
    <m/>
  </r>
  <r>
    <d v="2024-10-17T00:00:00"/>
    <x v="0"/>
    <m/>
    <x v="11"/>
    <n v="0.40862336198394567"/>
    <n v="-6.3723558008146028"/>
    <n v="-8.3590534979423872"/>
    <m/>
  </r>
  <r>
    <d v="2024-10-18T00:00:00"/>
    <x v="0"/>
    <m/>
    <x v="12"/>
    <n v="-2.0769014875105305"/>
    <n v="-2.0219039595619175"/>
    <n v="-6.0328575276057146"/>
    <m/>
  </r>
  <r>
    <d v="2024-10-21T00:00:00"/>
    <x v="0"/>
    <m/>
    <x v="13"/>
    <n v="1.9776440240756599"/>
    <n v="0.26771875440326581"/>
    <n v="-3.6425186188219336"/>
    <m/>
  </r>
  <r>
    <d v="2024-10-22T00:00:00"/>
    <x v="0"/>
    <m/>
    <x v="14"/>
    <n v="2.3608768971332306"/>
    <n v="2.2172326690990714"/>
    <n v="-4.7345017002354055"/>
    <m/>
  </r>
  <r>
    <d v="2024-10-23T00:00:00"/>
    <x v="0"/>
    <m/>
    <x v="15"/>
    <n v="-2.0181219110378898"/>
    <n v="2.2785898538263161"/>
    <n v="-6.2278281434765406"/>
    <m/>
  </r>
  <r>
    <d v="2024-10-24T00:00:00"/>
    <x v="0"/>
    <m/>
    <x v="16"/>
    <n v="-1.1069076642847222"/>
    <n v="-0.81506464305789539"/>
    <n v="-0.89862398202752125"/>
    <m/>
  </r>
  <r>
    <d v="2024-10-25T00:00:00"/>
    <x v="0"/>
    <m/>
    <x v="17"/>
    <n v="2.0402380277699033"/>
    <n v="-1.1257550796265887"/>
    <n v="1.4794983795970087"/>
    <m/>
  </r>
  <r>
    <d v="2024-10-28T00:00:00"/>
    <x v="0"/>
    <m/>
    <x v="18"/>
    <n v="-6.0677589558455853"/>
    <n v="-5.2122740647330792"/>
    <n v="-5.0659556553466167"/>
    <m/>
  </r>
  <r>
    <d v="2024-10-29T00:00:00"/>
    <x v="0"/>
    <m/>
    <x v="19"/>
    <n v="-0.25129342202513183"/>
    <n v="-4.3921790875602076"/>
    <n v="-3.2960733734594396"/>
    <m/>
  </r>
  <r>
    <d v="2024-10-30T00:00:00"/>
    <x v="0"/>
    <m/>
    <x v="20"/>
    <n v="2.1191464137522118"/>
    <n v="-4.3182449319633429"/>
    <n v="-3.1618887015177064"/>
    <m/>
  </r>
  <r>
    <d v="2024-10-31T00:00:00"/>
    <x v="0"/>
    <m/>
    <x v="21"/>
    <n v="0.97228268756349101"/>
    <n v="2.8529194382852809"/>
    <n v="-4.4755628775398204"/>
    <m/>
  </r>
  <r>
    <d v="2024-11-01T00:00:00"/>
    <x v="0"/>
    <m/>
    <x v="22"/>
    <n v="0.33055475711411897"/>
    <n v="3.4528749259039691"/>
    <n v="-2.1857923497267793"/>
    <m/>
  </r>
  <r>
    <d v="2024-11-04T00:00:00"/>
    <x v="0"/>
    <m/>
    <x v="23"/>
    <n v="2.8935682566967427"/>
    <n v="4.2374111159483414"/>
    <n v="1.7710399546613773"/>
    <m/>
  </r>
  <r>
    <d v="2024-11-05T00:00:00"/>
    <x v="0"/>
    <m/>
    <x v="24"/>
    <n v="0.5986356675483876"/>
    <n v="3.8516815176775037"/>
    <n v="0.33324076645377548"/>
    <m/>
  </r>
  <r>
    <d v="2024-11-06T00:00:00"/>
    <x v="0"/>
    <m/>
    <x v="25"/>
    <n v="-0.38748962081372973"/>
    <n v="3.1084371866494798"/>
    <n v="6.4005912786400554"/>
    <m/>
  </r>
  <r>
    <d v="2024-11-07T00:00:00"/>
    <x v="0"/>
    <m/>
    <x v="26"/>
    <n v="0.98638510697415072"/>
    <n v="1.1972713350967554"/>
    <n v="7.7208061647895576"/>
    <m/>
  </r>
  <r>
    <d v="2024-11-08T00:00:00"/>
    <x v="0"/>
    <m/>
    <x v="27"/>
    <n v="-2.7514100976750586"/>
    <n v="-2.1727096595627002"/>
    <n v="2.5830793789000159"/>
    <m/>
  </r>
  <r>
    <d v="2024-11-12T00:00:00"/>
    <x v="0"/>
    <m/>
    <x v="28"/>
    <n v="-3.1970575753288886"/>
    <n v="-4.9319255348707927"/>
    <n v="-1.6527737855705542"/>
    <n v="-2.8121005538985795"/>
  </r>
  <r>
    <d v="2024-11-13T00:00:00"/>
    <x v="0"/>
    <m/>
    <x v="29"/>
    <n v="0.48224462954844116"/>
    <n v="-5.4065208419314805"/>
    <n v="-1.5040825096690977"/>
    <n v="-2.7989821882951511"/>
  </r>
  <r>
    <d v="2024-11-14T00:00:00"/>
    <x v="0"/>
    <m/>
    <x v="30"/>
    <n v="0.33449680046537195"/>
    <n v="-2.4048663177252836"/>
    <n v="-3.953779757761386"/>
    <n v="-7.1841786627203055"/>
  </r>
  <r>
    <d v="2024-11-15T00:00:00"/>
    <x v="0"/>
    <m/>
    <x v="31"/>
    <n v="-2.4061458182345219"/>
    <n v="-1.6074820984948244"/>
    <n v="-6.8225851093274379"/>
    <n v="-10.142799946616853"/>
  </r>
  <r>
    <d v="2024-11-18T00:00:00"/>
    <x v="0"/>
    <m/>
    <x v="32"/>
    <n v="3.1635229466805219"/>
    <n v="1.0180337405468129"/>
    <n v="-3.5009724923590024"/>
    <n v="-10.673868312757216"/>
  </r>
  <r>
    <d v="2024-11-19T00:00:00"/>
    <x v="0"/>
    <m/>
    <x v="33"/>
    <n v="0.41750647854881406"/>
    <n v="1.1016089288302726"/>
    <n v="-4.0445728435823325"/>
    <n v="-6.0732561271209331"/>
  </r>
  <r>
    <d v="2024-11-20T00:00:00"/>
    <x v="0"/>
    <m/>
    <x v="34"/>
    <n v="-0.71684587813620071"/>
    <n v="2.8516263181345636"/>
    <n v="-2.0370632338378809"/>
    <n v="-6.2288422477995864"/>
  </r>
  <r>
    <d v="2024-11-21T00:00:00"/>
    <x v="0"/>
    <m/>
    <x v="35"/>
    <n v="1.6462093862815892"/>
    <n v="1.3389000863806606"/>
    <n v="2.8642408300452926"/>
    <n v="-7.938791524980374"/>
  </r>
  <r>
    <d v="2024-11-22T00:00:00"/>
    <x v="0"/>
    <m/>
    <x v="36"/>
    <n v="1.8326466827674475"/>
    <n v="2.7670250896057444"/>
    <n v="4.2466550319953482"/>
    <n v="-5.8205229273419947"/>
  </r>
  <r>
    <d v="2024-11-25T00:00:00"/>
    <x v="0"/>
    <m/>
    <x v="37"/>
    <n v="-3.1668526785714426"/>
    <n v="0.23104693140793731"/>
    <n v="0.60878388172199127"/>
    <n v="-2.541420949171584"/>
  </r>
  <r>
    <d v="2024-11-26T00:00:00"/>
    <x v="0"/>
    <m/>
    <x v="38"/>
    <n v="-0.51865725399798213"/>
    <n v="-1.9036794999289719"/>
    <n v="2.5545819099955427"/>
    <n v="-2.7053684655488257"/>
  </r>
  <r>
    <d v="2024-11-27T00:00:00"/>
    <x v="0"/>
    <m/>
    <x v="39"/>
    <n v="-2.8964518464874762E-2"/>
    <n v="-3.6969866071428643"/>
    <n v="-0.61906133026201071"/>
    <n v="-3.1293853494246475"/>
  </r>
  <r>
    <d v="2024-11-29T00:00:00"/>
    <x v="0"/>
    <m/>
    <x v="40"/>
    <n v="-1.1154570476604317"/>
    <n v="-1.6568217836046557"/>
    <n v="-2.1362007168458708"/>
    <n v="-2.1782745772427572"/>
  </r>
  <r>
    <d v="2024-12-02T00:00:00"/>
    <x v="0"/>
    <m/>
    <x v="41"/>
    <n v="0.13184881336066392"/>
    <n v="-1.0137581462708223"/>
    <n v="-1.2996389891696833"/>
    <n v="-3.948847667228784"/>
  </r>
  <r>
    <d v="2024-12-03T00:00:00"/>
    <x v="0"/>
    <m/>
    <x v="42"/>
    <n v="2.6335040234089413"/>
    <n v="1.6224829784151882"/>
    <n v="-0.34095752237533011"/>
    <n v="-3.6930258099945052"/>
  </r>
  <r>
    <d v="2024-12-04T00:00:00"/>
    <x v="0"/>
    <m/>
    <x v="43"/>
    <n v="-1.9101924447612308"/>
    <n v="0.80574274831526094"/>
    <n v="-4.0039062500000062"/>
    <n v="-3.5869412918593273"/>
  </r>
  <r>
    <d v="2024-12-05T00:00:00"/>
    <x v="0"/>
    <m/>
    <x v="44"/>
    <n v="-0.33425374218864112"/>
    <n v="0.33650329188003508"/>
    <n v="-1.1957931133842363"/>
    <n v="-2.8336639274582036"/>
  </r>
  <r>
    <d v="2024-12-06T00:00:00"/>
    <x v="0"/>
    <m/>
    <x v="44"/>
    <n v="0"/>
    <n v="-2.2380612972202529"/>
    <n v="-0.68066618392469069"/>
    <n v="-4.7764509858372648"/>
  </r>
  <r>
    <d v="2024-12-09T00:00:00"/>
    <x v="0"/>
    <m/>
    <x v="45"/>
    <n v="0.10207057451153018"/>
    <n v="-0.23252434239208922"/>
    <n v="-0.55048529624800147"/>
    <n v="1.4781966001478195"/>
  </r>
  <r>
    <d v="2024-12-10T00:00:00"/>
    <x v="0"/>
    <m/>
    <x v="46"/>
    <n v="0.29133284777857044"/>
    <n v="0.393700787401569"/>
    <n v="0.86434222091999591"/>
    <n v="2.0302311796087587"/>
  </r>
  <r>
    <d v="2024-12-11T00:00:00"/>
    <x v="0"/>
    <m/>
    <x v="47"/>
    <n v="2.4981844589687712"/>
    <n v="2.9017206182560438"/>
    <n v="3.2479882955376724"/>
    <n v="2.4089391960528177"/>
  </r>
  <r>
    <d v="2024-12-12T00:00:00"/>
    <x v="0"/>
    <m/>
    <x v="48"/>
    <n v="-0.45345047470595606"/>
    <n v="2.3306627822286878"/>
    <n v="0.14255167498217292"/>
    <n v="0.96292037941937592"/>
  </r>
  <r>
    <d v="2024-12-13T00:00:00"/>
    <x v="0"/>
    <m/>
    <x v="49"/>
    <n v="1.8362989323843504"/>
    <n v="3.9070442992011798"/>
    <n v="3.9674465920651123"/>
    <n v="2.4781549921214783"/>
  </r>
  <r>
    <d v="2024-12-16T00:00:00"/>
    <x v="0"/>
    <m/>
    <x v="50"/>
    <n v="-0.71288789488398807"/>
    <n v="0.65183505738983705"/>
    <n v="3.5724701079031829"/>
    <n v="-1.113740776834188"/>
  </r>
  <r>
    <d v="2024-12-17T00:00:00"/>
    <x v="0"/>
    <m/>
    <x v="51"/>
    <n v="-1.013656201604954"/>
    <n v="8.5409252669042382E-2"/>
    <n v="2.522601341498985"/>
    <n v="-2.6985884306670394"/>
  </r>
  <r>
    <d v="2024-12-18T00:00:00"/>
    <x v="0"/>
    <m/>
    <x v="52"/>
    <n v="0.6969136680415231"/>
    <n v="-1.0343863572826517"/>
    <n v="3.1318281136197981"/>
    <n v="-1.6393442622950913"/>
  </r>
  <r>
    <d v="2024-12-19T00:00:00"/>
    <x v="0"/>
    <m/>
    <x v="53"/>
    <n v="-0.98870056497175551"/>
    <n v="-1.3093059270730774"/>
    <n v="1.8155410312273059"/>
    <n v="-3.5630760764892058"/>
  </r>
  <r>
    <d v="2024-12-20T00:00:00"/>
    <x v="0"/>
    <m/>
    <x v="54"/>
    <n v="-0.55634807417974408"/>
    <n v="-0.85336367515290634"/>
    <n v="-1.2186481507722822"/>
    <n v="-1.3863347008063431"/>
  </r>
  <r>
    <d v="2024-12-23T00:00:00"/>
    <x v="0"/>
    <m/>
    <x v="55"/>
    <n v="-0.30124802754266783"/>
    <n v="-1.8361581920903913"/>
    <n v="-1.0676156583629894"/>
    <n v="1.5636416776267617"/>
  </r>
  <r>
    <d v="2024-12-24T00:00:00"/>
    <x v="0"/>
    <m/>
    <x v="56"/>
    <n v="1.9712230215827404"/>
    <n v="1.0984308131241232"/>
    <n v="-0.93653899916131056"/>
    <n v="3.0686445607911566"/>
  </r>
  <r>
    <d v="2024-12-26T00:00:00"/>
    <x v="0"/>
    <m/>
    <x v="57"/>
    <n v="-0.69140680118528164"/>
    <n v="0.96112465930282853"/>
    <n v="-0.91510629311559299"/>
    <n v="2.0147847514132495"/>
  </r>
  <r>
    <d v="2024-12-27T00:00:00"/>
    <x v="0"/>
    <m/>
    <x v="58"/>
    <n v="1.2787723785166323"/>
    <n v="2.5611510791366925"/>
    <n v="1.3796046081638442"/>
    <n v="5.8666270607455857"/>
  </r>
  <r>
    <d v="2024-12-30T00:00:00"/>
    <x v="0"/>
    <m/>
    <x v="59"/>
    <n v="0.63131313131313527"/>
    <n v="1.2134894877945526"/>
    <n v="1.3135593220339079"/>
    <n v="3.2680679527785923"/>
  </r>
  <r>
    <d v="2024-12-31T00:00:00"/>
    <x v="0"/>
    <m/>
    <x v="60"/>
    <n v="0.98982294716296348"/>
    <n v="2.9269678886047208"/>
    <n v="3.3380884450784647"/>
    <n v="3.8566308243727567"/>
  </r>
  <r>
    <d v="2025-01-02T00:00:00"/>
    <x v="0"/>
    <m/>
    <x v="61"/>
    <n v="1.8636112644947662"/>
    <n v="3.5213243546576947"/>
    <n v="5.8528188208291674"/>
    <n v="6.5559566787003698"/>
  </r>
  <r>
    <d v="2025-01-03T00:00:00"/>
    <x v="0"/>
    <m/>
    <x v="62"/>
    <n v="1.1519176040113759"/>
    <n v="4.0568799665411905"/>
    <n v="7.3956834532374103"/>
    <n v="6.0377894587299332"/>
  </r>
  <r>
    <d v="2025-01-06T00:00:00"/>
    <x v="0"/>
    <m/>
    <x v="63"/>
    <n v="-0.4421221864951746"/>
    <n v="2.5814467145223698"/>
    <n v="4.8539579511782103"/>
    <n v="3.669084821428565"/>
  </r>
  <r>
    <d v="2025-01-07T00:00:00"/>
    <x v="0"/>
    <m/>
    <x v="64"/>
    <n v="0.91508545283271769"/>
    <n v="1.6262366174278204"/>
    <n v="6.5501562944018179"/>
    <n v="8.0391874369687333"/>
  </r>
  <r>
    <d v="2025-01-08T00:00:00"/>
    <x v="0"/>
    <m/>
    <x v="65"/>
    <n v="-1.3335111348179758"/>
    <n v="-0.87084673097535592"/>
    <n v="3.8019079685746262"/>
    <n v="7.154236060825486"/>
  </r>
  <r>
    <d v="2025-01-10T00:00:00"/>
    <x v="0"/>
    <m/>
    <x v="66"/>
    <n v="4.4330314907419943"/>
    <n v="3.9833131476248065"/>
    <n v="7.7234072215251528"/>
    <n v="11.936839055483116"/>
  </r>
  <r>
    <d v="2025-01-13T00:00:00"/>
    <x v="0"/>
    <m/>
    <x v="67"/>
    <n v="2.9765756438462501"/>
    <n v="6.1074809974663271"/>
    <n v="9.842628382109325"/>
    <n v="16.569000878992071"/>
  </r>
  <r>
    <d v="2025-01-14T00:00:00"/>
    <x v="0"/>
    <m/>
    <x v="68"/>
    <n v="-1.721754430061569"/>
    <n v="5.6899581024462877"/>
    <n v="5.976419569047291"/>
    <n v="14.411119239209963"/>
  </r>
  <r>
    <d v="2025-01-15T00:00:00"/>
    <x v="0"/>
    <m/>
    <x v="69"/>
    <n v="3.2352941176470598"/>
    <n v="4.477805099003505"/>
    <n v="8.1591639871382675"/>
    <n v="15.08196721311475"/>
  </r>
  <r>
    <d v="2025-01-16T00:00:00"/>
    <x v="0"/>
    <m/>
    <x v="70"/>
    <n v="-1.7094017094017213"/>
    <n v="-0.27648611285660285"/>
    <n v="6.7823980621719713"/>
    <n v="15.317541055079193"/>
  </r>
  <r>
    <d v="2025-01-17T00:00:00"/>
    <x v="0"/>
    <m/>
    <x v="71"/>
    <n v="-0.99558916194075875"/>
    <n v="0.46035805626598392"/>
    <n v="4.7606347513001834"/>
    <n v="14.552347623213771"/>
  </r>
  <r>
    <d v="2025-01-21T00:00:00"/>
    <x v="1"/>
    <s v="Trump inauguration; policy uncertainty"/>
    <x v="72"/>
    <n v="-2.2530549898166954"/>
    <n v="-4.8804657500309645"/>
    <n v="3.7842951750236677"/>
    <n v="11.971420239136785"/>
  </r>
  <r>
    <d v="2025-01-22T00:00:00"/>
    <x v="1"/>
    <m/>
    <x v="73"/>
    <n v="-0.87250944133350905"/>
    <n v="-4.0705734089476877"/>
    <n v="-1.4882878219231157"/>
    <n v="10.881281864530223"/>
  </r>
  <r>
    <d v="2025-01-23T00:00:00"/>
    <x v="1"/>
    <m/>
    <x v="74"/>
    <n v="-1.4319495533368409"/>
    <n v="-4.4933808553971497"/>
    <n v="-5.7056679653135509"/>
    <n v="8.9760348583878109"/>
  </r>
  <r>
    <d v="2025-01-24T00:00:00"/>
    <x v="1"/>
    <m/>
    <x v="75"/>
    <n v="-7.9968012794885066E-2"/>
    <n v="-2.3701002734731178"/>
    <n v="-4.1304347826087007"/>
    <n v="6.2349440272070371"/>
  </r>
  <r>
    <d v="2025-01-27T00:00:00"/>
    <x v="1"/>
    <m/>
    <x v="76"/>
    <n v="-1.9474456449246285"/>
    <n v="-3.4287966368891212"/>
    <n v="-8.9433915520872027"/>
    <n v="4.6405693950178009"/>
  </r>
  <r>
    <d v="2025-01-28T00:00:00"/>
    <x v="1"/>
    <m/>
    <x v="77"/>
    <n v="0.87062984627941842"/>
    <n v="-1.1728641876582639"/>
    <n v="-6.5532451165721346"/>
    <n v="3.6483086385239019"/>
  </r>
  <r>
    <d v="2025-01-29T00:00:00"/>
    <x v="1"/>
    <m/>
    <x v="78"/>
    <n v="-1.6318273769386487"/>
    <n v="-2.7077497665732975"/>
    <n v="-7.1537678207739361"/>
    <n v="2.6890046459242525"/>
  </r>
  <r>
    <d v="2025-01-30T00:00:00"/>
    <x v="1"/>
    <m/>
    <x v="79"/>
    <n v="0.2193583767480074"/>
    <n v="-0.55774724527276665"/>
    <n v="-4.8053131918218668"/>
    <n v="3.9681410894609472"/>
  </r>
  <r>
    <d v="2025-01-31T00:00:00"/>
    <x v="1"/>
    <m/>
    <x v="14"/>
    <n v="-0.35567715458275095"/>
    <n v="-1.7666891436277845"/>
    <n v="-4.3089858118759867"/>
    <n v="2.881355932203399"/>
  </r>
  <r>
    <d v="2025-02-03T00:00:00"/>
    <x v="1"/>
    <m/>
    <x v="80"/>
    <n v="0.9335529928610552"/>
    <n v="0.7951741157115414"/>
    <n v="-2.0125283220045382"/>
    <n v="4.8787446504992893"/>
  </r>
  <r>
    <d v="2025-02-04T00:00:00"/>
    <x v="1"/>
    <m/>
    <x v="81"/>
    <n v="-0.65288356909683054"/>
    <n v="-8.2079343365236757E-2"/>
    <n v="-2.5743630785647493"/>
    <n v="4.7769330081767505"/>
  </r>
  <r>
    <d v="2025-02-05T00:00:00"/>
    <x v="1"/>
    <m/>
    <x v="82"/>
    <n v="-2.2590361445783209"/>
    <n v="-1.9906644700713931"/>
    <n v="-2.8839613658005776"/>
    <n v="2.7194244604316555"/>
  </r>
  <r>
    <d v="2025-02-06T00:00:00"/>
    <x v="1"/>
    <m/>
    <x v="10"/>
    <n v="-0.58831769155344127"/>
    <n v="-3.4684439608269821"/>
    <n v="-4.2886041807147768"/>
    <n v="0.14110342881331214"/>
  </r>
  <r>
    <d v="2025-02-07T00:00:00"/>
    <x v="1"/>
    <m/>
    <x v="83"/>
    <n v="0.49316612653232961"/>
    <n v="-2.3548740416210476"/>
    <n v="-2.2210035645736284"/>
    <n v="1.3356067064506931"/>
  </r>
  <r>
    <d v="2025-02-10T00:00:00"/>
    <x v="1"/>
    <m/>
    <x v="84"/>
    <n v="1.9770050476724774"/>
    <n v="1.8770135873371667"/>
    <n v="-0.50615595075238073"/>
    <n v="2.0342312008978714"/>
  </r>
  <r>
    <d v="2025-02-11T00:00:00"/>
    <x v="1"/>
    <m/>
    <x v="85"/>
    <n v="1.2924515330675068"/>
    <n v="3.8044244046780369"/>
    <n v="1.1394838001098273"/>
    <n v="2.704586644360794"/>
  </r>
  <r>
    <d v="2025-02-12T00:00:00"/>
    <x v="1"/>
    <m/>
    <x v="86"/>
    <n v="-2.6469390525315633"/>
    <n v="0.56085249579361429"/>
    <n v="-2.4483133841131628"/>
    <n v="-0.99392600773053408"/>
  </r>
  <r>
    <d v="2025-02-13T00:00:00"/>
    <x v="1"/>
    <m/>
    <x v="87"/>
    <n v="-8.3658672615730997E-2"/>
    <n v="-1.4711948301938778"/>
    <n v="-1.8893756845564207"/>
    <n v="-2.8865699959344213"/>
  </r>
  <r>
    <d v="2025-02-14T00:00:00"/>
    <x v="1"/>
    <m/>
    <x v="88"/>
    <n v="-0.85124197599776641"/>
    <n v="-3.5564001628885631"/>
    <n v="-0.47625717887659813"/>
    <n v="-4.8097534833869284"/>
  </r>
  <r>
    <d v="2025-02-18T00:00:00"/>
    <x v="1"/>
    <m/>
    <x v="89"/>
    <n v="1.6326530612244852"/>
    <n v="0.68321249302843678"/>
    <n v="1.7472171340002747"/>
    <n v="-2.8259991925716705"/>
  </r>
  <r>
    <d v="2025-02-19T00:00:00"/>
    <x v="1"/>
    <m/>
    <x v="90"/>
    <n v="0.51239440520704138"/>
    <n v="1.2838403572425365"/>
    <n v="1.766685361749867"/>
    <n v="-3.2137618349113168"/>
  </r>
  <r>
    <d v="2025-02-20T00:00:00"/>
    <x v="1"/>
    <m/>
    <x v="91"/>
    <n v="0.41333700744006219"/>
    <n v="2.5756509500351843"/>
    <n v="0.20624226591501646"/>
    <n v="-1.5002027300986613"/>
  </r>
  <r>
    <d v="2025-02-21T00:00:00"/>
    <x v="1"/>
    <m/>
    <x v="92"/>
    <n v="-2.9637760702524654"/>
    <n v="-2.0634261182661611"/>
    <n v="-4.0043436948554403"/>
    <n v="-8.4767697683447629"/>
  </r>
  <r>
    <d v="2025-02-24T00:00:00"/>
    <x v="1"/>
    <m/>
    <x v="93"/>
    <n v="0.48076923076923556"/>
    <n v="-2.0942408376963297"/>
    <n v="-0.92024539877300138"/>
    <n v="-10.694985547316817"/>
  </r>
  <r>
    <d v="2025-02-25T00:00:00"/>
    <x v="1"/>
    <m/>
    <x v="94"/>
    <n v="-2.6878694061356549"/>
    <n v="-5.1180021953896677"/>
    <n v="-3.5026514094334229"/>
    <n v="-11.572890025575443"/>
  </r>
  <r>
    <d v="2025-02-26T00:00:00"/>
    <x v="1"/>
    <m/>
    <x v="95"/>
    <n v="-0.40491684743311801"/>
    <n v="-2.6159502262443359"/>
    <n v="-3.0682617874735998"/>
    <n v="-14.690945125727733"/>
  </r>
  <r>
    <d v="2025-02-27T00:00:00"/>
    <x v="1"/>
    <m/>
    <x v="96"/>
    <n v="2.5410193117467688"/>
    <n v="-0.6191950464396252"/>
    <n v="-2.2019110926464331"/>
    <n v="-11.001890359168231"/>
  </r>
  <r>
    <d v="2025-02-28T00:00:00"/>
    <x v="1"/>
    <m/>
    <x v="97"/>
    <n v="-0.92041914471821806"/>
    <n v="1.185827910339831"/>
    <n v="-3.5960319647285743"/>
    <n v="-10.934317718940941"/>
  </r>
  <r>
    <d v="2025-03-03T00:00:00"/>
    <x v="1"/>
    <m/>
    <x v="98"/>
    <n v="-1.9151064742032347"/>
    <n v="-0.34848264846814153"/>
    <n v="-5.8315038419319434"/>
    <n v="-10.626383643703621"/>
  </r>
  <r>
    <d v="2025-03-04T00:00:00"/>
    <x v="1"/>
    <m/>
    <x v="99"/>
    <n v="-0.23313419787264547"/>
    <n v="-3.0444633248371646"/>
    <n v="-3.1815610859728505"/>
    <n v="-10.049921177088814"/>
  </r>
  <r>
    <d v="2025-03-05T00:00:00"/>
    <x v="1"/>
    <m/>
    <x v="100"/>
    <n v="-2.7603329925514832"/>
    <n v="-4.8449335429469782"/>
    <n v="-6.3045313819307687"/>
    <n v="-11.262161801945892"/>
  </r>
  <r>
    <d v="2025-03-06T00:00:00"/>
    <x v="1"/>
    <m/>
    <x v="101"/>
    <n v="6.007810153200098E-2"/>
    <n v="-2.9287483607751583"/>
    <n v="-3.6587129428778029"/>
    <n v="-11.137788448712811"/>
  </r>
  <r>
    <d v="2025-03-07T00:00:00"/>
    <x v="1"/>
    <m/>
    <x v="102"/>
    <n v="1.0057039927949589"/>
    <n v="-1.7233825032860999"/>
    <n v="-2.2941774357485092"/>
    <n v="-8.4614338185280893"/>
  </r>
  <r>
    <d v="2025-03-10T00:00:00"/>
    <x v="1"/>
    <m/>
    <x v="103"/>
    <n v="-1.4563828206271421"/>
    <n v="-0.40552718534093729"/>
    <n v="-6.1030869442084423"/>
    <n v="-10.573162508428863"/>
  </r>
  <r>
    <d v="2025-03-11T00:00:00"/>
    <x v="1"/>
    <m/>
    <x v="104"/>
    <n v="0.31669431458300973"/>
    <n v="-0.15010507355149882"/>
    <n v="-4.9306845791053346"/>
    <n v="-8.8017548670139867"/>
  </r>
  <r>
    <d v="2025-03-12T00:00:00"/>
    <x v="1"/>
    <m/>
    <x v="18"/>
    <n v="1.6987372218881684"/>
    <n v="0.53499777084262068"/>
    <n v="-1.4279469619699692"/>
    <n v="-7.4555403556771402"/>
  </r>
  <r>
    <d v="2025-03-13T00:00:00"/>
    <x v="1"/>
    <m/>
    <x v="105"/>
    <n v="-1.2269031781227087"/>
    <n v="0.76911476398731848"/>
    <n v="-2.4098145173068581"/>
    <n v="-8.2646897309170928"/>
  </r>
  <r>
    <d v="2025-03-14T00:00:00"/>
    <x v="1"/>
    <m/>
    <x v="106"/>
    <n v="0.91290032924276221"/>
    <n v="1.3680096211665829"/>
    <n v="1.2766596575548341"/>
    <n v="-8.2834602829161987"/>
  </r>
  <r>
    <d v="2025-03-17T00:00:00"/>
    <x v="1"/>
    <m/>
    <x v="107"/>
    <n v="0.60803796529734033"/>
    <n v="0.28085735402808237"/>
    <n v="1.831281897328128"/>
    <n v="-7.1193866374589296"/>
  </r>
  <r>
    <d v="2025-03-18T00:00:00"/>
    <x v="1"/>
    <m/>
    <x v="108"/>
    <n v="-0.51591981132076725"/>
    <n v="1.0026938042502271"/>
    <n v="0.29722098380143946"/>
    <n v="-5.4629499929962257"/>
  </r>
  <r>
    <d v="2025-03-19T00:00:00"/>
    <x v="1"/>
    <m/>
    <x v="109"/>
    <n v="-0.13335308934655385"/>
    <n v="-4.4490582826636711E-2"/>
    <n v="1.6437942995023425"/>
    <n v="-5.0302944906298341"/>
  </r>
  <r>
    <d v="2025-03-20T00:00:00"/>
    <x v="1"/>
    <m/>
    <x v="110"/>
    <n v="1.7062314540059218"/>
    <n v="1.0465801886792361"/>
    <n v="3.0517137702946502"/>
    <n v="-3.8839035333707179"/>
  </r>
  <r>
    <d v="2025-03-21T00:00:00"/>
    <x v="1"/>
    <m/>
    <x v="111"/>
    <n v="-4.3763676148798163E-2"/>
    <n v="1.5261520225218568"/>
    <n v="1.2860310421285888"/>
    <n v="-5.7885329300151351"/>
  </r>
  <r>
    <d v="2025-03-24T00:00:00"/>
    <x v="1"/>
    <m/>
    <x v="32"/>
    <n v="1.3718622300058345"/>
    <n v="3.0563798219584388"/>
    <n v="3.9509129003292438"/>
    <n v="-5.7146735441835315"/>
  </r>
  <r>
    <d v="2025-03-25T00:00:00"/>
    <x v="1"/>
    <m/>
    <x v="112"/>
    <n v="2.8793550244759911E-2"/>
    <n v="1.3566739606127014"/>
    <n v="3.0401898264867224"/>
    <n v="-3.1232571109871654"/>
  </r>
  <r>
    <d v="2025-03-26T00:00:00"/>
    <x v="1"/>
    <m/>
    <x v="113"/>
    <n v="0.82037996545767589"/>
    <n v="2.2329246935201419"/>
    <n v="3.2576650943396133"/>
    <n v="-2.2467206251744343"/>
  </r>
  <r>
    <d v="2025-03-27T00:00:00"/>
    <x v="1"/>
    <m/>
    <x v="114"/>
    <n v="0.3568879371877231"/>
    <n v="1.2093291102793025"/>
    <n v="4.1635797895984625"/>
    <n v="-1.0555946516537649"/>
  </r>
  <r>
    <d v="2025-03-28T00:00:00"/>
    <x v="1"/>
    <m/>
    <x v="115"/>
    <n v="-0.79658605974395769"/>
    <n v="0.37420840529647509"/>
    <n v="3.4718100890207557"/>
    <n v="-3.4205788671929085"/>
  </r>
  <r>
    <d v="2025-03-31T00:00:00"/>
    <x v="1"/>
    <m/>
    <x v="116"/>
    <n v="3.0542013191855606"/>
    <n v="2.5981441827266347"/>
    <n v="4.8431801604668232"/>
    <n v="-0.97823091760814784"/>
  </r>
  <r>
    <d v="2025-04-01T00:00:00"/>
    <x v="1"/>
    <m/>
    <x v="117"/>
    <n v="-0.36176429664673038"/>
    <n v="1.8634423897581827"/>
    <n v="4.5096322241681319"/>
    <n v="-1.7425905598243634"/>
  </r>
  <r>
    <d v="2025-04-02T00:00:00"/>
    <x v="1"/>
    <m/>
    <x v="118"/>
    <n v="0.71219103477168699"/>
    <n v="3.4126756524233004"/>
    <n v="3.8295421825511244"/>
    <n v="1.979638009049782"/>
  </r>
  <r>
    <d v="2025-04-03T00:00:00"/>
    <x v="1"/>
    <m/>
    <x v="106"/>
    <n v="-6.5030504714364916"/>
    <n v="-6.1778210658132702"/>
    <n v="-2.9504893494530759"/>
    <n v="-5.1083591331269291"/>
  </r>
  <r>
    <d v="2025-04-04T00:00:00"/>
    <x v="1"/>
    <m/>
    <x v="119"/>
    <n v="-7.4299273320480568"/>
    <n v="-12.833403155983797"/>
    <n v="-10.892219842969302"/>
    <n v="-9.7324656543745522"/>
  </r>
  <r>
    <d v="2025-04-07T00:00:00"/>
    <x v="1"/>
    <m/>
    <x v="120"/>
    <n v="-2.1948093559756559"/>
    <n v="-15.349417637271223"/>
    <n v="-13.157894736842104"/>
    <n v="-11.354726295919859"/>
  </r>
  <r>
    <d v="2025-04-08T00:00:00"/>
    <x v="1"/>
    <m/>
    <x v="121"/>
    <n v="-1.6543816543816512"/>
    <n v="-10.959513569627772"/>
    <n v="-13.908804129624313"/>
    <n v="-14.981591617105641"/>
  </r>
  <r>
    <d v="2025-04-09T00:00:00"/>
    <x v="1"/>
    <m/>
    <x v="122"/>
    <n v="4.3137908061292531"/>
    <n v="0.33643063120794753"/>
    <n v="-12.856546542368166"/>
    <n v="-10.490210090038584"/>
  </r>
  <r>
    <d v="2025-04-10T00:00:00"/>
    <x v="1"/>
    <m/>
    <x v="123"/>
    <n v="-3.2891585502155554"/>
    <n v="-0.7862407862407812"/>
    <n v="-15.416841223292835"/>
    <n v="-11.74413521783476"/>
  </r>
  <r>
    <d v="2025-04-11T00:00:00"/>
    <x v="1"/>
    <m/>
    <x v="124"/>
    <n v="2.212316328215282"/>
    <n v="3.1145902731512285"/>
    <n v="-14.15696062118692"/>
    <n v="-9.5808383233532961"/>
  </r>
  <r>
    <d v="2025-04-14T00:00:00"/>
    <x v="1"/>
    <m/>
    <x v="125"/>
    <n v="0.12921983524471881"/>
    <n v="-1.0218745010378423"/>
    <n v="-8.0676256858964912"/>
    <n v="-6.8939621507960291"/>
  </r>
  <r>
    <d v="2025-04-15T00:00:00"/>
    <x v="1"/>
    <m/>
    <x v="126"/>
    <n v="-0.40329085336344567"/>
    <n v="1.9316493313521574"/>
    <n v="-1.0893944248638252"/>
    <n v="-7.3251275893125216"/>
  </r>
  <r>
    <d v="2025-04-16T00:00:00"/>
    <x v="1"/>
    <m/>
    <x v="127"/>
    <n v="1.8464528668610309"/>
    <n v="1.5667905023421191"/>
    <n v="2.9975429975430066"/>
    <n v="-6.5537226928221184"/>
  </r>
  <r>
    <d v="2025-04-17T00:00:00"/>
    <x v="1"/>
    <m/>
    <x v="128"/>
    <n v="3.4828244274809008"/>
    <n v="4.9685433134376362"/>
    <n v="8.3777481678880648"/>
    <n v="-1.8700045242045076"/>
  </r>
  <r>
    <d v="2025-04-21T00:00:00"/>
    <x v="1"/>
    <m/>
    <x v="129"/>
    <n v="-2.4435223605348031"/>
    <n v="2.8182701652089324"/>
    <n v="1.3571770716908738"/>
    <n v="-4.5700541190619353"/>
  </r>
  <r>
    <d v="2025-04-22T00:00:00"/>
    <x v="1"/>
    <m/>
    <x v="130"/>
    <n v="1.7643352236924976"/>
    <n v="2.7353689567429891"/>
    <n v="6.6534588079907451"/>
    <n v="-4.5084996304508662"/>
  </r>
  <r>
    <d v="2025-04-23T00:00:00"/>
    <x v="1"/>
    <m/>
    <x v="131"/>
    <n v="-3.0340557275541702"/>
    <n v="-3.7344398340248852"/>
    <n v="1.1791309966079859"/>
    <n v="-6.2556120921879579"/>
  </r>
  <r>
    <d v="2025-04-24T00:00:00"/>
    <x v="1"/>
    <m/>
    <x v="132"/>
    <n v="1.452745849297568"/>
    <n v="0.1102709514807818"/>
    <n v="2.5165349249878934"/>
    <n v="-5.7541153789114778"/>
  </r>
  <r>
    <d v="2025-04-25T00:00:00"/>
    <x v="1"/>
    <m/>
    <x v="133"/>
    <n v="0.47206923682140722"/>
    <n v="-1.1609907120742926"/>
    <n v="3.4175574991901514"/>
    <n v="-5.8814858490566069"/>
  </r>
  <r>
    <d v="2025-04-28T00:00:00"/>
    <x v="1"/>
    <m/>
    <x v="134"/>
    <n v="-0.86139389193422755"/>
    <n v="1.0536398467432895"/>
    <n v="0.66793893129770132"/>
    <n v="-6.208327159579194"/>
  </r>
  <r>
    <d v="2025-04-29T00:00:00"/>
    <x v="1"/>
    <m/>
    <x v="135"/>
    <n v="-2.3064770932069414"/>
    <n v="-2.690794649881973"/>
    <n v="-4.9638850468725835"/>
    <n v="-8.2492581602373907"/>
  </r>
  <r>
    <d v="2025-04-30T00:00:00"/>
    <x v="1"/>
    <m/>
    <x v="136"/>
    <n v="-3.7031047865459348"/>
    <n v="-6.7345340642130065"/>
    <n v="-6.1909262759924388"/>
    <n v="-13.12910284463895"/>
  </r>
  <r>
    <d v="2025-05-01T00:00:00"/>
    <x v="1"/>
    <m/>
    <x v="137"/>
    <n v="1.7464315701091626"/>
    <n v="-4.2812006319115223"/>
    <n v="-6.2074303405572619"/>
    <n v="-11.573263280793919"/>
  </r>
  <r>
    <d v="2025-05-02T00:00:00"/>
    <x v="1"/>
    <m/>
    <x v="138"/>
    <n v="-1.5184023766298096"/>
    <n v="-3.5090556274256168"/>
    <n v="-4.7413793103448256"/>
    <n v="-14.094442844802755"/>
  </r>
  <r>
    <d v="2025-05-05T00:00:00"/>
    <x v="1"/>
    <m/>
    <x v="139"/>
    <n v="-1.960784313725493"/>
    <n v="-1.7632241813601968"/>
    <n v="-7.9464988198269042"/>
    <n v="-15.803108808290162"/>
  </r>
  <r>
    <d v="2025-05-06T00:00:00"/>
    <x v="1"/>
    <m/>
    <x v="140"/>
    <n v="3.2820512820512846"/>
    <n v="-0.28057435220333671"/>
    <n v="-5.3719655442443219"/>
    <n v="-13.747323340471084"/>
  </r>
  <r>
    <d v="2025-05-07T00:00:00"/>
    <x v="1"/>
    <m/>
    <x v="141"/>
    <n v="-1.6550810989738496"/>
    <n v="-0.41897100720630126"/>
    <n v="-6.1295418641390143"/>
    <n v="-15.47652916073968"/>
  </r>
  <r>
    <d v="2025-05-08T00:00:00"/>
    <x v="1"/>
    <m/>
    <x v="142"/>
    <n v="3.0797711208347329"/>
    <n v="4.700854700854701"/>
    <n v="-0.9540750323415319"/>
    <n v="-12.173788356753649"/>
  </r>
  <r>
    <d v="2025-05-09T00:00:00"/>
    <x v="1"/>
    <m/>
    <x v="143"/>
    <n v="1.8285714285714245"/>
    <n v="3.2274081429989998"/>
    <n v="4.7355163727959706"/>
    <n v="-13.218310839014896"/>
  </r>
  <r>
    <d v="2025-05-12T00:00:00"/>
    <x v="1"/>
    <m/>
    <x v="144"/>
    <n v="1.523168189834861"/>
    <n v="6.5634466509592704"/>
    <n v="4.5056940089123563"/>
    <n v="-11.576595447563189"/>
  </r>
  <r>
    <d v="2025-05-13T00:00:00"/>
    <x v="1"/>
    <m/>
    <x v="145"/>
    <n v="2.7163613392293207"/>
    <n v="6.1877551020408266"/>
    <n v="8.9994972347913595"/>
    <n v="-9.8169717138103127"/>
  </r>
  <r>
    <d v="2025-05-14T00:00:00"/>
    <x v="1"/>
    <m/>
    <x v="146"/>
    <n v="-0.8610086100861043"/>
    <n v="3.3830367163700603"/>
    <n v="10.222222222222229"/>
    <n v="-4.3749073112857815"/>
  </r>
  <r>
    <d v="2025-05-15T00:00:00"/>
    <x v="1"/>
    <m/>
    <x v="147"/>
    <n v="-2.2487593052109225"/>
    <n v="-0.45799115603284768"/>
    <n v="4.319761668321747"/>
    <n v="0.97725088112784275"/>
  </r>
  <r>
    <d v="2025-05-16T00:00:00"/>
    <x v="1"/>
    <m/>
    <x v="148"/>
    <n v="1.2851023322227546"/>
    <n v="-1.8450184501845059"/>
    <n v="7.438572871087179"/>
    <n v="4.5700245700245805"/>
  </r>
  <r>
    <d v="2025-05-19T00:00:00"/>
    <x v="1"/>
    <m/>
    <x v="149"/>
    <n v="0.21929824561402483"/>
    <n v="-0.77543424317618959"/>
    <n v="4.457142857142852"/>
    <n v="6.5622918054630208"/>
  </r>
  <r>
    <d v="2025-05-20T00:00:00"/>
    <x v="1"/>
    <m/>
    <x v="150"/>
    <n v="-1.5629884338852783E-2"/>
    <n v="1.4913533238140531"/>
    <n v="2.5653358986692343"/>
    <n v="2.1395497365479743"/>
  </r>
  <r>
    <d v="2025-05-21T00:00:00"/>
    <x v="1"/>
    <m/>
    <x v="151"/>
    <n v="-1.6257620759731113"/>
    <n v="-1.4254385964912337"/>
    <n v="-0.61591914087176336"/>
    <n v="3.896318309394089"/>
  </r>
  <r>
    <d v="2025-05-22T00:00:00"/>
    <x v="1"/>
    <m/>
    <x v="152"/>
    <n v="-0.60384554266645885"/>
    <n v="-2.2350734604563924"/>
    <n v="-3.8284132841328549"/>
    <n v="1.0337586819576816"/>
  </r>
  <r>
    <d v="2025-05-23T00:00:00"/>
    <x v="1"/>
    <m/>
    <x v="153"/>
    <n v="0.54356514788170018"/>
    <n v="-1.6882913865874605"/>
    <n v="-2.4658808933002532"/>
    <n v="1.4518470721084022"/>
  </r>
  <r>
    <d v="2025-05-27T00:00:00"/>
    <x v="1"/>
    <m/>
    <x v="154"/>
    <n v="-2.0352997296867561"/>
    <n v="-2.0975687271571593"/>
    <n v="-2.2528954466127269"/>
    <n v="-0.21056041464205141"/>
  </r>
  <r>
    <d v="2025-05-28T00:00:00"/>
    <x v="1"/>
    <m/>
    <x v="155"/>
    <n v="1.509495211816263"/>
    <n v="-1.5987210231811367E-2"/>
    <n v="-2.0363408521303321"/>
    <n v="-0.54071246819338969"/>
  </r>
  <r>
    <d v="2025-05-29T00:00:00"/>
    <x v="1"/>
    <m/>
    <x v="156"/>
    <n v="-1.4070994563479413"/>
    <n v="-1.9557958339958721"/>
    <n v="-3.6261331666145673"/>
    <n v="-5.2405102197633271"/>
  </r>
  <r>
    <d v="2025-05-30T00:00:00"/>
    <x v="1"/>
    <m/>
    <x v="157"/>
    <n v="-0.32435939020433951"/>
    <n v="-0.24346696964778217"/>
    <n v="-3.9237142410504897"/>
    <n v="-3.1821045998739703"/>
  </r>
  <r>
    <d v="2025-06-02T00:00:00"/>
    <x v="1"/>
    <m/>
    <x v="158"/>
    <n v="2.9450048812235634"/>
    <n v="1.1672529581068181"/>
    <n v="0.54028285396472808"/>
    <n v="-2.0588235294117512"/>
  </r>
  <r>
    <d v="2025-06-03T00:00:00"/>
    <x v="1"/>
    <m/>
    <x v="159"/>
    <n v="1.311838153943403"/>
    <n v="3.9571845604930225"/>
    <n v="2.4780175859312505"/>
    <n v="2.330779054916976"/>
  </r>
  <r>
    <d v="2025-06-04T00:00:00"/>
    <x v="1"/>
    <m/>
    <x v="160"/>
    <n v="-0.82683307332292366"/>
    <n v="3.4331272372274637"/>
    <n v="1.0812529813960878"/>
    <n v="3.1471282454764951E-2"/>
  </r>
  <r>
    <d v="2025-06-05T00:00:00"/>
    <x v="1"/>
    <m/>
    <x v="161"/>
    <n v="0.77080383828850396"/>
    <n v="1.2486170380907209"/>
    <n v="3.976627170913817"/>
    <n v="0.32889584964761293"/>
  </r>
  <r>
    <d v="2025-06-06T00:00:00"/>
    <x v="1"/>
    <m/>
    <x v="162"/>
    <n v="1.9356852950358958"/>
    <n v="1.8720748829953244"/>
    <n v="4.4131755676367099"/>
    <n v="3.1595576619273307"/>
  </r>
  <r>
    <d v="2025-06-09T00:00:00"/>
    <x v="1"/>
    <m/>
    <x v="163"/>
    <n v="1.0566615620214361"/>
    <n v="3.8068271197105465"/>
    <n v="7.0223807979240975"/>
    <n v="6.7108667529107224"/>
  </r>
  <r>
    <d v="2025-06-10T00:00:00"/>
    <x v="1"/>
    <m/>
    <x v="164"/>
    <n v="-0.500075769055915"/>
    <n v="2.4976584452076089"/>
    <n v="6.8337129840546629"/>
    <n v="10.260285474391267"/>
  </r>
  <r>
    <d v="2025-06-11T00:00:00"/>
    <x v="1"/>
    <m/>
    <x v="20"/>
    <n v="4.9497410904660377"/>
    <n v="5.5283307810107196"/>
    <n v="8.9141773352299563"/>
    <n v="13.731638884304328"/>
  </r>
  <r>
    <d v="2025-06-12T00:00:00"/>
    <x v="1"/>
    <m/>
    <x v="165"/>
    <n v="-0.26121027427077725"/>
    <n v="4.1521442642824811"/>
    <n v="7.2230889235569586"/>
    <n v="15.183509301156365"/>
  </r>
  <r>
    <d v="2025-06-13T00:00:00"/>
    <x v="2"/>
    <s v="Israel Strikes Iran"/>
    <x v="166"/>
    <n v="7.4348901498617765"/>
    <n v="12.458117575388375"/>
    <n v="16.155419222903891"/>
    <n v="26.222222222222229"/>
  </r>
  <r>
    <d v="2025-06-16T00:00:00"/>
    <x v="2"/>
    <m/>
    <x v="167"/>
    <n v="-1.7741061755146292"/>
    <n v="5.2532288492236319"/>
    <n v="13.221979394317826"/>
    <n v="20.043032108573318"/>
  </r>
  <r>
    <d v="2025-06-17T00:00:00"/>
    <x v="2"/>
    <m/>
    <x v="168"/>
    <n v="4.2603060802426631"/>
    <n v="10.024734468208933"/>
    <n v="15.803981623277194"/>
    <n v="27.263547627061602"/>
  </r>
  <r>
    <d v="2025-06-18T00:00:00"/>
    <x v="2"/>
    <m/>
    <x v="169"/>
    <n v="0.35704839989420262"/>
    <n v="2.7762730227518921"/>
    <n v="15.002273071677536"/>
    <n v="23.902040816326529"/>
  </r>
  <r>
    <d v="2025-06-20T00:00:00"/>
    <x v="2"/>
    <m/>
    <x v="170"/>
    <n v="-0.22400843325866612"/>
    <n v="4.3981800634220285"/>
    <n v="15.321352421565646"/>
    <n v="21.404521404521407"/>
  </r>
  <r>
    <d v="2025-06-23T00:00:00"/>
    <x v="2"/>
    <s v="Iran threatens Hormuz Closure"/>
    <x v="171"/>
    <n v="-8.3993660855784462"/>
    <n v="-8.2782332716212697"/>
    <n v="0.65302568567697405"/>
    <n v="9.5388502842703708"/>
  </r>
  <r>
    <d v="2025-06-24T00:00:00"/>
    <x v="3"/>
    <s v="US brokered ceasefire reached"/>
    <x v="172"/>
    <n v="-5.6372549019607794"/>
    <n v="-13.756753195414412"/>
    <n v="-4.772297395605996"/>
    <n v="0.63038130381303281"/>
  </r>
  <r>
    <d v="2025-06-25T00:00:00"/>
    <x v="3"/>
    <m/>
    <x v="173"/>
    <n v="0.80977845683728211"/>
    <n v="-12.863180137348118"/>
    <n v="-10.644637053087756"/>
    <n v="2.3263027295285359"/>
  </r>
  <r>
    <d v="2025-06-26T00:00:00"/>
    <x v="3"/>
    <m/>
    <x v="174"/>
    <n v="0.69718096392845363"/>
    <n v="-4.2099192618223782"/>
    <n v="-8.3965255756238832"/>
    <n v="5.4101221640488601"/>
  </r>
  <r>
    <d v="2025-06-27T00:00:00"/>
    <x v="3"/>
    <m/>
    <x v="175"/>
    <n v="0.33112582781456784"/>
    <n v="1.8487394957983097"/>
    <n v="-11.848717270563352"/>
    <n v="4.4172932330826962"/>
  </r>
  <r>
    <d v="2025-06-30T00:00:00"/>
    <x v="3"/>
    <m/>
    <x v="176"/>
    <n v="-0.54005400540053927"/>
    <n v="0.48499545316761616"/>
    <n v="-12.6367110291211"/>
    <n v="3.6261331666145673"/>
  </r>
  <r>
    <d v="2025-07-01T00:00:00"/>
    <x v="3"/>
    <m/>
    <x v="177"/>
    <n v="0.51282051282051799"/>
    <n v="0.30102347983143113"/>
    <n v="-11.991547807712623"/>
    <n v="4.1738314835078967"/>
  </r>
  <r>
    <d v="2025-07-02T00:00:00"/>
    <x v="3"/>
    <m/>
    <x v="178"/>
    <n v="3.0312124849939917"/>
    <n v="3.0003000300030007"/>
    <n v="-1.0092272202998889"/>
    <n v="9.1053551565231157"/>
  </r>
  <r>
    <d v="2025-07-03T00:00:00"/>
    <x v="3"/>
    <m/>
    <x v="179"/>
    <n v="-0.77191960384503511"/>
    <n v="2.7601809954751104"/>
    <n v="4.0947288006111426"/>
    <n v="8.9208633093525158"/>
  </r>
  <r>
    <d v="2025-07-07T00:00:00"/>
    <x v="3"/>
    <m/>
    <x v="180"/>
    <n v="1.5118156465580526"/>
    <n v="3.7815126050420109"/>
    <n v="4.8196423158532768"/>
    <n v="9.969788519637456"/>
  </r>
  <r>
    <d v="2025-07-08T00:00:00"/>
    <x v="3"/>
    <m/>
    <x v="181"/>
    <n v="0.56390977443609103"/>
    <n v="1.2962423536265666"/>
    <n v="4.6809151113786873"/>
    <n v="12.88751826002272"/>
  </r>
  <r>
    <d v="2025-07-09T00:00:00"/>
    <x v="3"/>
    <m/>
    <x v="182"/>
    <n v="8.6268871315603568E-2"/>
    <n v="2.1723176280640013"/>
    <n v="4.4254425442544303"/>
    <n v="11.304764950431725"/>
  </r>
  <r>
    <d v="2025-07-10T00:00:00"/>
    <x v="3"/>
    <m/>
    <x v="183"/>
    <n v="-2.6289326246228968"/>
    <n v="-1.9953730480046203"/>
    <n v="2.2322775263951793"/>
    <n v="9.9253973402530082"/>
  </r>
  <r>
    <d v="2025-07-11T00:00:00"/>
    <x v="3"/>
    <m/>
    <x v="184"/>
    <n v="2.7294187075833491"/>
    <n v="0.11502516175413127"/>
    <n v="4.4867947178871468"/>
    <n v="13.293198828506336"/>
  </r>
  <r>
    <d v="2025-07-14T00:00:00"/>
    <x v="3"/>
    <m/>
    <x v="185"/>
    <n v="-2.0680741059887948"/>
    <n v="-2.0399367906909953"/>
    <n v="-0.6845324788814432"/>
    <n v="7.7761972498814513"/>
  </r>
  <r>
    <d v="2025-07-15T00:00:00"/>
    <x v="3"/>
    <m/>
    <x v="186"/>
    <n v="-0.63059099574716615"/>
    <n v="-2.9507229271165565E-2"/>
    <n v="-0.54307940701598467"/>
    <n v="5.7098283931357425"/>
  </r>
  <r>
    <d v="2025-07-16T00:00:00"/>
    <x v="3"/>
    <m/>
    <x v="187"/>
    <n v="-0.9297520661157167"/>
    <n v="-3.5904064340083299"/>
    <n v="-2.9352226720647789"/>
    <n v="5.6001258455246106"/>
  </r>
  <r>
    <d v="2025-07-17T00:00:00"/>
    <x v="3"/>
    <m/>
    <x v="29"/>
    <n v="2.4281245344853417"/>
    <n v="0.83589969203696646"/>
    <n v="-1.1358734723220589"/>
    <n v="7.3368716827973817"/>
  </r>
  <r>
    <d v="2025-07-18T00:00:00"/>
    <x v="3"/>
    <m/>
    <x v="188"/>
    <n v="-0.33449680046539265"/>
    <n v="1.1363636363636302"/>
    <n v="-1.5515012210889216"/>
    <n v="4.9464012251148608"/>
  </r>
  <r>
    <d v="2025-07-21T00:00:00"/>
    <x v="3"/>
    <m/>
    <x v="189"/>
    <n v="-0.20429009193054221"/>
    <n v="1.8769551616267022"/>
    <n v="0.89997049277072794"/>
    <n v="3.6369146840430457"/>
  </r>
  <r>
    <d v="2025-07-22T00:00:00"/>
    <x v="3"/>
    <m/>
    <x v="190"/>
    <n v="-1.2136277233513646"/>
    <n v="-1.7452006980802834"/>
    <n v="-2.9728565273588874"/>
    <n v="2.8936947913493842"/>
  </r>
  <r>
    <d v="2025-07-23T00:00:00"/>
    <x v="3"/>
    <m/>
    <x v="191"/>
    <n v="-2.2350503256364789"/>
    <n v="-3.6188530570553104"/>
    <n v="-3.1382900718580444"/>
    <n v="-4.1503410245247414"/>
  </r>
  <r>
    <d v="2025-07-24T00:00:00"/>
    <x v="3"/>
    <m/>
    <x v="192"/>
    <n v="1.6805450416351242"/>
    <n v="-1.7985085538821524"/>
    <n v="-0.88547815820544351"/>
    <n v="-2.2843008875309287"/>
  </r>
  <r>
    <d v="2025-07-25T00:00:00"/>
    <x v="3"/>
    <m/>
    <x v="193"/>
    <n v="-1.1614055985705796"/>
    <n v="-1.7465956187093055"/>
    <n v="-1.1172352152539848"/>
    <n v="-10.102925243770326"/>
  </r>
  <r>
    <d v="2025-07-28T00:00:00"/>
    <x v="3"/>
    <m/>
    <x v="194"/>
    <n v="2.154263332329025"/>
    <n v="2.6646479939439898"/>
    <n v="-1.3816172193135583"/>
    <n v="-6.5076520060664542"/>
  </r>
  <r>
    <d v="2025-07-29T00:00:00"/>
    <x v="3"/>
    <m/>
    <x v="195"/>
    <n v="3.627783512756221"/>
    <n v="4.630732578916021"/>
    <n v="2.5390339997081495"/>
    <n v="-7.0748479238296857"/>
  </r>
  <r>
    <d v="2025-07-30T00:00:00"/>
    <x v="3"/>
    <m/>
    <x v="196"/>
    <n v="1.1669275651060302"/>
    <n v="7.0955106959927807"/>
    <n v="3.9479456060827642"/>
    <n v="-6.3249439978916815"/>
  </r>
  <r>
    <d v="2025-07-31T00:00:00"/>
    <x v="3"/>
    <m/>
    <x v="197"/>
    <n v="-1.0268673512449062"/>
    <n v="3.7605072998082836"/>
    <n v="4.1444641799881543"/>
    <n v="-7.0787110406761746"/>
  </r>
  <r>
    <d v="2025-08-01T00:00:00"/>
    <x v="3"/>
    <m/>
    <x v="189"/>
    <n v="-2.7998862990335405"/>
    <n v="-2.6753949053650143"/>
    <n v="3.54277062831189"/>
    <n v="-1.398500576701267"/>
  </r>
  <r>
    <d v="2025-08-04T00:00:00"/>
    <x v="3"/>
    <m/>
    <x v="31"/>
    <n v="-1.5499342009065686"/>
    <n v="-5.2890701927134689"/>
    <n v="0.25312686122692335"/>
    <n v="2.8724216959511004"/>
  </r>
  <r>
    <d v="2025-08-05T00:00:00"/>
    <x v="3"/>
    <m/>
    <x v="198"/>
    <n v="-1.6783009059854379"/>
    <n v="-5.9124502558271699"/>
    <n v="-0.27116601385958516"/>
    <n v="0.33343437405274151"/>
  </r>
  <r>
    <d v="2025-08-06T00:00:00"/>
    <x v="3"/>
    <m/>
    <x v="199"/>
    <n v="-1.2386706948640593"/>
    <n v="-4.401228249744122"/>
    <n v="-3.5835422504055545"/>
    <n v="-1.5954244431065658"/>
  </r>
  <r>
    <d v="2025-08-07T00:00:00"/>
    <x v="3"/>
    <m/>
    <x v="200"/>
    <n v="-0.73416947078615746"/>
    <n v="-3.6090895588890426"/>
    <n v="-7.6419524690479443"/>
    <n v="-2.6402640264026269"/>
  </r>
  <r>
    <d v="2025-08-08T00:00:00"/>
    <x v="3"/>
    <m/>
    <x v="201"/>
    <n v="6.1633281972252749E-2"/>
    <n v="-1.9033232628398868"/>
    <n v="-8.6510057673371854"/>
    <n v="-2.0512820512820507"/>
  </r>
  <r>
    <d v="2025-08-11T00:00:00"/>
    <x v="3"/>
    <m/>
    <x v="202"/>
    <n v="0.13858946720049803"/>
    <n v="-0.53533190578157597"/>
    <n v="-7.5753268902785651"/>
    <n v="-2.4159663865546208"/>
  </r>
  <r>
    <d v="2025-08-12T00:00:00"/>
    <x v="3"/>
    <m/>
    <x v="203"/>
    <n v="-1.2455789635552856"/>
    <n v="-1.0477657935285158"/>
    <n v="-6.0973826582833768"/>
    <n v="-6.466647247305561"/>
  </r>
  <r>
    <d v="2025-08-13T00:00:00"/>
    <x v="3"/>
    <m/>
    <x v="204"/>
    <n v="-0.84085954531298523"/>
    <n v="-1.9402525408068958"/>
    <n v="-5.4210604485370544"/>
    <n v="-6.5316307060032237"/>
  </r>
  <r>
    <d v="2025-08-14T00:00:00"/>
    <x v="3"/>
    <m/>
    <x v="205"/>
    <n v="2.0571608040200928"/>
    <n v="-6.1510072274344532E-2"/>
    <n v="-1.8277945619335465"/>
    <n v="-6.0294968189705065"/>
  </r>
  <r>
    <d v="2025-08-15T00:00:00"/>
    <x v="3"/>
    <m/>
    <x v="206"/>
    <n v="-1.8618248961378578"/>
    <n v="-0.68514481469946709"/>
    <n v="-2.4472315692872351"/>
    <n v="-8.2961897915168894"/>
  </r>
  <r>
    <d v="2025-08-18T00:00:00"/>
    <x v="3"/>
    <m/>
    <x v="207"/>
    <n v="1.1445594230166258"/>
    <n v="1.3033919597990034"/>
    <n v="-0.6009244992295848"/>
    <n v="-7.3265335440310224"/>
  </r>
  <r>
    <d v="2025-08-19T00:00:00"/>
    <x v="3"/>
    <m/>
    <x v="208"/>
    <n v="-1.7516664083087929"/>
    <n v="-2.4773042006462416"/>
    <n v="-2.4022174314752007"/>
    <n v="-6.4915904396577142"/>
  </r>
  <r>
    <d v="2025-08-20T00:00:00"/>
    <x v="3"/>
    <m/>
    <x v="209"/>
    <n v="1.2780056800252368"/>
    <n v="0.64283474443398658"/>
    <n v="-1.2917115177610385"/>
    <n v="-7.8127244004021223"/>
  </r>
  <r>
    <d v="2025-08-21T00:00:00"/>
    <x v="3"/>
    <m/>
    <x v="210"/>
    <n v="0.57641377161552354"/>
    <n v="7.7507363199499538E-2"/>
    <n v="0.52943008408595982"/>
    <n v="-5.3233611966563945"/>
  </r>
  <r>
    <d v="2025-08-22T00:00:00"/>
    <x v="3"/>
    <m/>
    <x v="211"/>
    <n v="-0.74349442379182773"/>
    <n v="1.1044493531082293"/>
    <n v="0.62814070351758566"/>
    <n v="-5.4309327036599857"/>
  </r>
  <r>
    <d v="2025-08-25T00:00:00"/>
    <x v="3"/>
    <m/>
    <x v="212"/>
    <n v="1.7166042446941456"/>
    <n v="1.5422963078361258"/>
    <n v="0.29235266964150169"/>
    <n v="-2.9048115596603434"/>
  </r>
  <r>
    <d v="2025-08-26T00:00:00"/>
    <x v="3"/>
    <m/>
    <x v="213"/>
    <n v="-2.4240564590365223"/>
    <n v="-1.4869888475836444"/>
    <n v="-0.28222013170272769"/>
    <n v="-7.5043630017452054"/>
  </r>
  <r>
    <d v="2025-08-27T00:00:00"/>
    <x v="3"/>
    <m/>
    <x v="214"/>
    <n v="1.3993710691823795"/>
    <n v="0.63982521847689855"/>
    <n v="-3.1002945279817441E-2"/>
    <n v="-5.8952283671384889"/>
  </r>
  <r>
    <d v="2025-08-28T00:00:00"/>
    <x v="3"/>
    <m/>
    <x v="215"/>
    <n v="0.72879516204062467"/>
    <n v="-0.33752684872662331"/>
    <n v="2.4928999684442901"/>
    <n v="-5.0153531218014429"/>
  </r>
  <r>
    <d v="2025-08-29T00:00:00"/>
    <x v="3"/>
    <m/>
    <x v="216"/>
    <n v="-0.92364532019703571"/>
    <n v="1.1949685534591163"/>
    <n v="0.26483875993145617"/>
    <n v="-4.736530491415043"/>
  </r>
  <r>
    <d v="2025-09-02T00:00:00"/>
    <x v="1"/>
    <s v="US enforcement near Venezuela"/>
    <x v="217"/>
    <n v="2.4704785581106328"/>
    <n v="2.26391688633898"/>
    <n v="2.1530359355638176"/>
    <n v="-0.15140045420135401"/>
  </r>
  <r>
    <d v="2025-09-03T00:00:00"/>
    <x v="1"/>
    <m/>
    <x v="216"/>
    <n v="-2.4109173616376092"/>
    <n v="-0.92364532019703571"/>
    <n v="0.43695380774032633"/>
    <n v="-4.1691483025610436"/>
  </r>
  <r>
    <d v="2025-09-04T00:00:00"/>
    <x v="1"/>
    <m/>
    <x v="218"/>
    <n v="-0.8545680546923512"/>
    <n v="-0.8545680546923512"/>
    <n v="-2.1018717397974904"/>
    <n v="-3.871648086773114"/>
  </r>
  <r>
    <d v="2025-09-05T00:00:00"/>
    <x v="1"/>
    <m/>
    <x v="219"/>
    <n v="-2.4917724494593374"/>
    <n v="-5.6557998483699832"/>
    <n v="-2.1698113207547212"/>
    <n v="-8.2436218846777809"/>
  </r>
  <r>
    <d v="2025-09-08T00:00:00"/>
    <x v="1"/>
    <m/>
    <x v="220"/>
    <n v="0.61073609771777981"/>
    <n v="-2.7346177750155345"/>
    <n v="-2.9306869282059136"/>
    <n v="-10.915041980930688"/>
  </r>
  <r>
    <d v="2025-09-09T00:00:00"/>
    <x v="1"/>
    <m/>
    <x v="221"/>
    <n v="0.59105431309903744"/>
    <n v="-1.3164080865068224"/>
    <n v="-3.0634236453201895"/>
    <n v="-11.422140948093972"/>
  </r>
  <r>
    <d v="2025-09-10T00:00:00"/>
    <x v="1"/>
    <m/>
    <x v="222"/>
    <n v="1.6515801175162874"/>
    <n v="2.8768884603021636"/>
    <n v="-0.54381603480421736"/>
    <n v="-9.0250142126207997"/>
  </r>
  <r>
    <d v="2025-09-11T00:00:00"/>
    <x v="1"/>
    <m/>
    <x v="223"/>
    <n v="-2.0309326667708234"/>
    <n v="0.17571884984025468"/>
    <n v="-4.9128127369219134"/>
    <n v="-8.3053077935370663"/>
  </r>
  <r>
    <d v="2025-09-12T00:00:00"/>
    <x v="1"/>
    <m/>
    <x v="224"/>
    <n v="0.4943390208898138"/>
    <n v="7.9402890265212425E-2"/>
    <n v="-2.0820385332504605"/>
    <n v="-6.4013069953958039"/>
  </r>
  <r>
    <d v="2025-09-15T00:00:00"/>
    <x v="1"/>
    <m/>
    <x v="225"/>
    <n v="1.0155506188511478"/>
    <n v="-0.54678956413061786"/>
    <n v="-0.23507287259051196"/>
    <n v="-3.8368580060423056"/>
  </r>
  <r>
    <d v="2025-09-16T00:00:00"/>
    <x v="1"/>
    <m/>
    <x v="226"/>
    <n v="1.9321394910461893"/>
    <n v="3.4763195662573749"/>
    <n v="4.2912246865959531"/>
    <n v="-0.74946466809421064"/>
  </r>
  <r>
    <d v="2025-09-17T00:00:00"/>
    <x v="1"/>
    <m/>
    <x v="227"/>
    <n v="-0.73971336107259045"/>
    <n v="2.205649000317349"/>
    <n v="2.8913738019169251"/>
    <n v="-0.75500770416026042"/>
  </r>
  <r>
    <d v="2025-09-18T00:00:00"/>
    <x v="1"/>
    <m/>
    <x v="228"/>
    <n v="-0.77627697562490294"/>
    <n v="0.39271127866792338"/>
    <n v="1.4927743369858626"/>
    <n v="-1.5860794579611968"/>
  </r>
  <r>
    <d v="2025-09-19T00:00:00"/>
    <x v="1"/>
    <m/>
    <x v="224"/>
    <n v="-1.3925833202941535"/>
    <n v="-2.8817999691786058"/>
    <n v="-1.5466333385408559"/>
    <n v="-3.0908811317853266"/>
  </r>
  <r>
    <d v="2025-09-22T00:00:00"/>
    <x v="1"/>
    <m/>
    <x v="229"/>
    <n v="-4.7603935258649852E-2"/>
    <n v="-2.2046266107747159"/>
    <n v="0.44649976080370141"/>
    <n v="-1.9152911865462425"/>
  </r>
  <r>
    <d v="2025-09-23T00:00:00"/>
    <x v="1"/>
    <m/>
    <x v="230"/>
    <n v="1.2224162565486523"/>
    <n v="-0.23470505398216021"/>
    <n v="1.1742304030466437"/>
    <n v="0.12562814070351491"/>
  </r>
  <r>
    <d v="2025-09-24T00:00:00"/>
    <x v="1"/>
    <m/>
    <x v="231"/>
    <n v="2.5721455457967499"/>
    <n v="3.7765788638527491"/>
    <n v="2.7332704995287607"/>
    <n v="0.63086628712111215"/>
  </r>
  <r>
    <d v="2025-09-25T00:00:00"/>
    <x v="1"/>
    <m/>
    <x v="232"/>
    <n v="0.16819571865443336"/>
    <n v="4.0006350214319779"/>
    <n v="0.95546309138542851"/>
    <n v="2.7124490435873376"/>
  </r>
  <r>
    <d v="2025-09-26T00:00:00"/>
    <x v="1"/>
    <m/>
    <x v="233"/>
    <n v="1.5112196611204318"/>
    <n v="4.2973651191969919"/>
    <n v="3.2448377581120997"/>
    <n v="3.0847930553402492"/>
  </r>
  <r>
    <d v="2025-09-29T00:00:00"/>
    <x v="1"/>
    <m/>
    <x v="234"/>
    <n v="-3.3533834586466229"/>
    <n v="-1.7278287461773849"/>
    <n v="0.56329212955718899"/>
    <n v="1.4042284632376041"/>
  </r>
  <r>
    <d v="2025-09-30T00:00:00"/>
    <x v="1"/>
    <m/>
    <x v="235"/>
    <n v="-1.7115294849852098"/>
    <n v="-3.5719737444664985"/>
    <n v="0.23801967629323798"/>
    <n v="-1.5890325595887149"/>
  </r>
  <r>
    <d v="2025-10-01T00:00:00"/>
    <x v="1"/>
    <m/>
    <x v="236"/>
    <n v="-0.91815735317397218"/>
    <n v="-5.8796992481202963"/>
    <n v="-0.63502143197332683"/>
    <n v="-3.0514250309789324"/>
  </r>
  <r>
    <d v="2025-10-02T00:00:00"/>
    <x v="1"/>
    <m/>
    <x v="237"/>
    <n v="-2.0929861000159802"/>
    <n v="-4.6522483273689046"/>
    <n v="-3.8895859473023791"/>
    <n v="-4.3695380774032415"/>
  </r>
  <r>
    <d v="2025-10-03T00:00:00"/>
    <x v="1"/>
    <m/>
    <x v="238"/>
    <n v="0.60378590078328565"/>
    <n v="-2.4062054772835255"/>
    <n v="-5.7339449541284502"/>
    <n v="-5.4157717091132369"/>
  </r>
  <r>
    <d v="2025-10-06T00:00:00"/>
    <x v="1"/>
    <m/>
    <x v="239"/>
    <n v="1.3625304136253096"/>
    <n v="-0.1597699312989318"/>
    <n v="-4.6099832086704362"/>
    <n v="-1.7452830188679234"/>
  </r>
  <r>
    <d v="2025-10-07T00:00:00"/>
    <x v="1"/>
    <m/>
    <x v="240"/>
    <n v="4.8007681228998456E-2"/>
    <n v="2.0234986945169746"/>
    <n v="-5.9849624060150326"/>
    <n v="-3.0547371685532516"/>
  </r>
  <r>
    <d v="2025-10-08T00:00:00"/>
    <x v="1"/>
    <m/>
    <x v="241"/>
    <n v="1.3595649392194407"/>
    <n v="2.7899432278994305"/>
    <n v="-1.400342305896995"/>
    <n v="-2.4476600985221619"/>
  </r>
  <r>
    <d v="2025-10-09T00:00:00"/>
    <x v="1"/>
    <m/>
    <x v="242"/>
    <n v="-1.5938141076218999"/>
    <n v="-0.20803328532565621"/>
    <n v="-1.2822542346050376"/>
    <n v="-3.1075201988812928"/>
  </r>
  <r>
    <d v="2025-10-10T00:00:00"/>
    <x v="1"/>
    <m/>
    <x v="243"/>
    <n v="-4.1853752405388054"/>
    <n v="-4.4305822136916237"/>
    <n v="-4.5374660488896037"/>
    <n v="-9.4010614101592154"/>
  </r>
  <r>
    <d v="2025-10-14T00:00:00"/>
    <x v="1"/>
    <m/>
    <x v="244"/>
    <n v="-0.38493723849371858"/>
    <n v="-6.0754300142022952"/>
    <n v="-2.8720626631853752"/>
    <n v="-7.5201988812927221"/>
  </r>
  <r>
    <d v="2025-10-15T00:00:00"/>
    <x v="1"/>
    <m/>
    <x v="245"/>
    <n v="-0.7392473118279651"/>
    <n v="-5.2597819114817206"/>
    <n v="-4.1686942416869428"/>
    <n v="-7.4126312490205359"/>
  </r>
  <r>
    <d v="2025-10-16T00:00:00"/>
    <x v="1"/>
    <m/>
    <x v="246"/>
    <n v="-1.3371699390656724"/>
    <n v="-2.4435146443514655"/>
    <n v="-6.7210753720595342"/>
    <n v="-6.3162970106075216"/>
  </r>
  <r>
    <d v="2025-10-17T00:00:00"/>
    <x v="1"/>
    <m/>
    <x v="247"/>
    <n v="1.7155601303822286E-2"/>
    <n v="-2.0497311827957088"/>
    <n v="-6.7498400511836305"/>
    <n v="-6.8690095846645445"/>
  </r>
  <r>
    <d v="2025-10-20T00:00:00"/>
    <x v="1"/>
    <m/>
    <x v="248"/>
    <n v="6.8610634648381227E-2"/>
    <n v="-1.2525389302640402"/>
    <n v="-7.9375098627110532"/>
    <n v="-7.3527076385580372"/>
  </r>
  <r>
    <d v="2025-10-21T00:00:00"/>
    <x v="1"/>
    <m/>
    <x v="249"/>
    <n v="0.54850874185806164"/>
    <n v="0.63475724824154645"/>
    <n v="-5.9332905708787731"/>
    <n v="-8.3580690517106824"/>
  </r>
  <r>
    <d v="2025-10-22T00:00:00"/>
    <x v="1"/>
    <m/>
    <x v="250"/>
    <n v="1.0910330719399941"/>
    <n v="1.7152658662092626"/>
    <n v="-0.75313807531381227"/>
    <n v="-5.4377292297879185"/>
  </r>
  <r>
    <d v="2025-10-23T00:00:00"/>
    <x v="1"/>
    <m/>
    <x v="251"/>
    <n v="5.2951096121416539"/>
    <n v="7.0277682550565546"/>
    <n v="4.9059139784946142"/>
    <n v="-0.92034274833387075"/>
  </r>
  <r>
    <d v="2025-10-24T00:00:00"/>
    <x v="1"/>
    <m/>
    <x v="252"/>
    <n v="-0.27226137091607083"/>
    <n v="6.1541084214115349"/>
    <n v="5.3994583615436778"/>
    <n v="-2.1834747093936437"/>
  </r>
  <r>
    <d v="2025-10-27T00:00:00"/>
    <x v="1"/>
    <m/>
    <x v="253"/>
    <n v="-0.22482736470210463"/>
    <n v="4.7723440134907342"/>
    <n v="6.5877509006690742"/>
    <n v="-4.2533518261673571"/>
  </r>
  <r>
    <d v="2025-10-28T00:00:00"/>
    <x v="1"/>
    <m/>
    <x v="254"/>
    <n v="-1.867052953484635"/>
    <n v="-2.3542600896860968"/>
    <n v="4.5797598627787339"/>
    <n v="-5.340785592299329"/>
  </r>
  <r>
    <d v="2025-10-29T00:00:00"/>
    <x v="1"/>
    <m/>
    <x v="255"/>
    <n v="0.47564375922584734"/>
    <n v="-1.6219688453508994"/>
    <n v="5.0051422694549093"/>
    <n v="-4.1464559536848675"/>
  </r>
  <r>
    <d v="2025-10-30T00:00:00"/>
    <x v="1"/>
    <m/>
    <x v="256"/>
    <n v="0.16323865491348585"/>
    <n v="-1.2393368742958364"/>
    <n v="4.6027957722468518"/>
    <n v="-2.6340844176451976"/>
  </r>
  <r>
    <d v="2025-10-31T00:00:00"/>
    <x v="1"/>
    <m/>
    <x v="257"/>
    <n v="0.63559322033898391"/>
    <n v="1.2793176972281468"/>
    <n v="4.1315345699831418"/>
    <n v="-1.9685664391173234"/>
  </r>
  <r>
    <d v="2025-11-03T00:00:00"/>
    <x v="1"/>
    <m/>
    <x v="258"/>
    <n v="6.4777327935221299E-2"/>
    <n v="0.86516487104146456"/>
    <n v="-1.0409993593850075"/>
    <n v="-3.0897114178168112"/>
  </r>
  <r>
    <d v="2025-11-04T00:00:00"/>
    <x v="1"/>
    <m/>
    <x v="259"/>
    <n v="-0.66353778928628671"/>
    <n v="3.2594524119952943E-2"/>
    <n v="-1.4292596756062319"/>
    <n v="-6.1467889908256925"/>
  </r>
  <r>
    <d v="2025-11-05T00:00:00"/>
    <x v="1"/>
    <m/>
    <x v="260"/>
    <n v="-1.5966112740306353"/>
    <n v="-2.1862348178137676"/>
    <n v="-2.7844841461451857"/>
    <n v="-7.8003358265913691"/>
  </r>
  <r>
    <d v="2025-11-06T00:00:00"/>
    <x v="1"/>
    <m/>
    <x v="261"/>
    <n v="-0.26490066225164999"/>
    <n v="-2.5084965204725638"/>
    <n v="-1.1973101525340279"/>
    <n v="-9.4135338345864632"/>
  </r>
  <r>
    <d v="2025-11-07T00:00:00"/>
    <x v="1"/>
    <m/>
    <x v="262"/>
    <n v="0.49800796812748532"/>
    <n v="-1.3685239491691159"/>
    <n v="-1.1753183153770794"/>
    <n v="-5.8036408899953278"/>
  </r>
  <r>
    <d v="2025-11-10T00:00:00"/>
    <x v="1"/>
    <m/>
    <x v="263"/>
    <n v="0.66072018500164953"/>
    <n v="0.89403973509933643"/>
    <n v="-0.68448500651890765"/>
    <n v="-3.5301567199620134"/>
  </r>
  <r>
    <d v="2025-11-12T00:00:00"/>
    <x v="1"/>
    <m/>
    <x v="250"/>
    <n v="-2.6911716442402374"/>
    <n v="-1.5604249667994767"/>
    <n v="-3.9676113360323928"/>
    <n v="-5.2564307397347916"/>
  </r>
  <r>
    <d v="2025-11-13T00:00:00"/>
    <x v="1"/>
    <m/>
    <x v="264"/>
    <n v="0.40472175379426978"/>
    <n v="-1.6518004625041296"/>
    <n v="-3.641365916815019"/>
    <n v="-2.8394255874673662"/>
  </r>
  <r>
    <d v="2025-11-14T00:00:00"/>
    <x v="1"/>
    <m/>
    <x v="265"/>
    <n v="2.2337924084648946"/>
    <n v="-0.11486708237610811"/>
    <n v="-0.83088954056696818"/>
    <n v="-1.2652068126520701"/>
  </r>
  <r>
    <d v="2025-11-17T00:00:00"/>
    <x v="1"/>
    <m/>
    <x v="266"/>
    <n v="-0.34499753573188902"/>
    <n v="2.2934232715008425"/>
    <n v="0.4304635761589371"/>
    <n v="-2.9284685549688034"/>
  </r>
  <r>
    <d v="2025-11-18T00:00:00"/>
    <x v="1"/>
    <m/>
    <x v="267"/>
    <n v="1.4012528849324126"/>
    <n v="3.3087000335908612"/>
    <n v="2.1082337317397011"/>
    <n v="-1.6154830454254718"/>
  </r>
  <r>
    <d v="2025-11-19T00:00:00"/>
    <x v="1"/>
    <m/>
    <x v="268"/>
    <n v="-2.0159323687205251"/>
    <n v="-0.98570724494824113"/>
    <n v="-0.44598612487610834"/>
    <n v="-4.891904686760288"/>
  </r>
  <r>
    <d v="2025-11-20T00:00:00"/>
    <x v="1"/>
    <m/>
    <x v="269"/>
    <n v="-0.33184005309441322"/>
    <n v="-0.97263435542366694"/>
    <n v="-1.4276337381030479"/>
    <n v="-3.6722257857601011"/>
  </r>
  <r>
    <d v="2025-11-21T00:00:00"/>
    <x v="1"/>
    <m/>
    <x v="270"/>
    <n v="-2.0143166305976377"/>
    <n v="-4.3082425621850087"/>
    <n v="-0.74198988195615134"/>
    <n v="-1.4895397489539759"/>
  </r>
  <r>
    <d v="2025-11-24T00:00:00"/>
    <x v="1"/>
    <m/>
    <x v="271"/>
    <n v="0.42473666326877335"/>
    <n v="-1.9246723079475752"/>
    <n v="-0.72220356063150781"/>
    <n v="-0.68884408602151148"/>
  </r>
  <r>
    <d v="2025-11-25T00:00:00"/>
    <x v="1"/>
    <m/>
    <x v="272"/>
    <n v="-1.454914566063271"/>
    <n v="-3.0297985683369406"/>
    <n v="-4.3042549696073555"/>
    <n v="-1.4048747461069706"/>
  </r>
  <r>
    <d v="2025-11-26T00:00:00"/>
    <x v="1"/>
    <m/>
    <x v="273"/>
    <n v="0.96137339055794391"/>
    <n v="-8.4947332653749846E-2"/>
    <n v="-3.0497856907352365"/>
    <n v="0.89209126779894177"/>
  </r>
  <r>
    <d v="2025-11-28T00:00:00"/>
    <x v="1"/>
    <m/>
    <x v="274"/>
    <n v="-0.39108995068866514"/>
    <n v="-0.89663339536457642"/>
    <n v="-4.763453097057389"/>
    <n v="0.48027444253859541"/>
  </r>
  <r>
    <d v="2025-12-01T00:00:00"/>
    <x v="1"/>
    <s v="Venezuelan Oil Blockade"/>
    <x v="275"/>
    <n v="1.5192898600204858"/>
    <n v="2.094420600858367"/>
    <n v="-1.3273602123776409"/>
    <n v="1.9369214946863136"/>
  </r>
  <r>
    <d v="2025-12-02T00:00:00"/>
    <x v="1"/>
    <m/>
    <x v="273"/>
    <n v="-1.1098032621489771"/>
    <n v="0"/>
    <n v="-2.097552855002494"/>
    <n v="0.25571087623594563"/>
  </r>
  <r>
    <d v="2025-12-03T00:00:00"/>
    <x v="1"/>
    <m/>
    <x v="276"/>
    <n v="0.47610950518619477"/>
    <n v="0.8706043018095001"/>
    <n v="0.39075773020727822"/>
    <n v="-0.35413153456997259"/>
  </r>
  <r>
    <d v="2025-12-04T00:00:00"/>
    <x v="1"/>
    <m/>
    <x v="277"/>
    <n v="1.2354036215941731"/>
    <n v="0.58853203295779621"/>
    <n v="1.2011503975638655"/>
    <n v="-4.1960281870595733"/>
  </r>
  <r>
    <d v="2025-12-05T00:00:00"/>
    <x v="1"/>
    <m/>
    <x v="278"/>
    <n v="0.68538950183884417"/>
    <n v="2.4145553477299684"/>
    <n v="3.3991416309012821"/>
    <n v="-3.2760558856592361"/>
  </r>
  <r>
    <d v="2025-12-08T00:00:00"/>
    <x v="1"/>
    <m/>
    <x v="279"/>
    <n v="-1.9757595882450569"/>
    <n v="-8.4616686410567368E-2"/>
    <n v="0.3910899506886531"/>
    <n v="-4.9734427812650948"/>
  </r>
  <r>
    <d v="2025-12-09T00:00:00"/>
    <x v="1"/>
    <m/>
    <x v="280"/>
    <n v="-1.0840108401084021"/>
    <n v="-2.3737880307589463"/>
    <n v="-0.30727210652099646"/>
    <n v="-4.2151877972773502"/>
  </r>
  <r>
    <d v="2025-12-10T00:00:00"/>
    <x v="1"/>
    <m/>
    <x v="281"/>
    <n v="0.46232876712329307"/>
    <n v="-2.5900713929935169"/>
    <n v="-1.3452160753320956"/>
    <n v="-4.2278811622592176"/>
  </r>
  <r>
    <d v="2025-12-11T00:00:00"/>
    <x v="1"/>
    <m/>
    <x v="282"/>
    <n v="-1.5510482358956938"/>
    <n v="-2.1680216802168042"/>
    <n v="-1.7854106444482303"/>
    <n v="-5.8670143415906146"/>
  </r>
  <r>
    <d v="2025-12-12T00:00:00"/>
    <x v="1"/>
    <m/>
    <x v="283"/>
    <n v="-0.25969529085872334"/>
    <n v="-1.3527397260273959"/>
    <n v="-2.5046539177525875"/>
    <n v="-6.7044534412955477"/>
  </r>
  <r>
    <d v="2025-12-15T00:00:00"/>
    <x v="1"/>
    <m/>
    <x v="284"/>
    <n v="-1.1109182433605287"/>
    <n v="-2.8975626384864546"/>
    <n v="-4.76429287863591"/>
    <n v="-7.8006149862437297"/>
  </r>
  <r>
    <d v="2025-12-16T00:00:00"/>
    <x v="1"/>
    <m/>
    <x v="285"/>
    <n v="-2.6856240126382329"/>
    <n v="-4.0166204986149587"/>
    <n v="-7.9528474182301165"/>
    <n v="-9.6774193548387171"/>
  </r>
  <r>
    <d v="2025-12-17T00:00:00"/>
    <x v="1"/>
    <m/>
    <x v="286"/>
    <n v="1.1363636363636411"/>
    <n v="-2.6731470230862682"/>
    <n v="-5.0304878048780468"/>
    <n v="-7.1688741721854283"/>
  </r>
  <r>
    <d v="2025-12-18T00:00:00"/>
    <x v="1"/>
    <m/>
    <x v="287"/>
    <n v="0.26752273943284927"/>
    <n v="-1.3164823591363874"/>
    <n v="-3.7328767123287672"/>
    <n v="-6.6733067729083722"/>
  </r>
  <r>
    <d v="2025-12-19T00:00:00"/>
    <x v="1"/>
    <m/>
    <x v="288"/>
    <n v="1.0316613304873681"/>
    <n v="2.4531024531024523"/>
    <n v="-3.1873189023351025"/>
    <n v="-6.177733729765448"/>
  </r>
  <r>
    <d v="2025-12-22T00:00:00"/>
    <x v="1"/>
    <m/>
    <x v="289"/>
    <n v="2.4295774647887369"/>
    <n v="3.7631532013554474"/>
    <n v="0.72714681440443507"/>
    <n v="-4.5290449622579558"/>
  </r>
  <r>
    <d v="2025-12-23T00:00:00"/>
    <x v="1"/>
    <m/>
    <x v="290"/>
    <n v="0.63595737366792271"/>
    <n v="4.1444325862682287"/>
    <n v="1.6316611699357713"/>
    <n v="-1.2647554806070826"/>
  </r>
  <r>
    <d v="2025-12-24T00:00:00"/>
    <x v="1"/>
    <m/>
    <x v="291"/>
    <n v="0.29035012809564764"/>
    <n v="3.3802816901408481"/>
    <n v="3.0717921713182377"/>
    <n v="-1.3772253946926443"/>
  </r>
  <r>
    <d v="2025-12-26T00:00:00"/>
    <x v="1"/>
    <m/>
    <x v="292"/>
    <n v="-3.6103542234332382"/>
    <n v="-2.7157098659333077"/>
    <n v="2.0923520923520988"/>
    <n v="-7.014949893215042"/>
  </r>
  <r>
    <d v="2025-12-29T00:00:00"/>
    <x v="1"/>
    <m/>
    <x v="293"/>
    <n v="2.279151943462896"/>
    <n v="-1.1272416737830855"/>
    <n v="3.2459425717852688"/>
    <n v="-4.566435872073848"/>
  </r>
  <r>
    <d v="2025-12-30T00:00:00"/>
    <x v="1"/>
    <m/>
    <x v="294"/>
    <n v="-0.17274140611504823"/>
    <n v="-1.5837874659400539"/>
    <n v="2.7926004980434014"/>
    <n v="-6.0477971061615978"/>
  </r>
  <r>
    <d v="2025-12-31T00:00:00"/>
    <x v="1"/>
    <m/>
    <x v="295"/>
    <n v="-0.91711368748918687"/>
    <n v="1.1660777385158951"/>
    <n v="0.80985915492957894"/>
    <n v="-4.9941927990708557"/>
  </r>
  <r>
    <d v="2026-01-02T00:00:00"/>
    <x v="2"/>
    <s v="US capture of Venezuelan President"/>
    <x v="296"/>
    <n v="-8.7320991966463771E-2"/>
    <n v="-1.1746415615823107"/>
    <n v="-1.6672396012375368"/>
    <n v="-4.7611120359580479"/>
  </r>
  <r>
    <d v="2026-01-05T00:00:00"/>
    <x v="2"/>
    <m/>
    <x v="297"/>
    <n v="1.5556720852997739"/>
    <n v="0.53642498702198005"/>
    <n v="-0.7685738684884641"/>
    <n v="-1.2911994563370677"/>
  </r>
  <r>
    <d v="2026-01-06T00:00:00"/>
    <x v="2"/>
    <m/>
    <x v="284"/>
    <n v="-1.9449225473321903"/>
    <n v="-0.50646175340551725"/>
    <n v="-2.9802452316076296"/>
    <n v="-3.6203688039248867"/>
  </r>
  <r>
    <d v="2026-01-07T00:00:00"/>
    <x v="2"/>
    <m/>
    <x v="298"/>
    <n v="-1.6850974196945776"/>
    <n v="-2.0975353959098109"/>
    <n v="-1.0424028268551295"/>
    <n v="-3.8454935622317632"/>
  </r>
  <r>
    <d v="2026-01-08T00:00:00"/>
    <x v="2"/>
    <m/>
    <x v="299"/>
    <n v="3.0887341546152545"/>
    <n v="-0.61962134251290779"/>
    <n v="-0.25911210917256622"/>
    <n v="-1.8194184662472375"/>
  </r>
  <r>
    <d v="2026-01-09T00:00:00"/>
    <x v="2"/>
    <m/>
    <x v="300"/>
    <n v="2.1129199861447847"/>
    <n v="3.493066526241885"/>
    <n v="2.0245717252119775"/>
    <n v="0.64868555821099794"/>
  </r>
  <r>
    <d v="2026-01-12T00:00:00"/>
    <x v="2"/>
    <m/>
    <x v="301"/>
    <n v="0.72930800542740792"/>
    <n v="6.0346366720228577"/>
    <n v="3.7198742577715729"/>
    <n v="-0.13452160753320716"/>
  </r>
  <r>
    <d v="2026-01-13T00:00:00"/>
    <x v="2"/>
    <m/>
    <x v="302"/>
    <n v="2.4583263175618804"/>
    <n v="5.3862140630412183"/>
    <n v="6.3625240342597467"/>
    <n v="3.4687978234994032"/>
  </r>
  <r>
    <d v="2026-01-14T00:00:00"/>
    <x v="2"/>
    <m/>
    <x v="135"/>
    <n v="1.6269515201314741"/>
    <n v="4.8846675712347398"/>
    <n v="6.4371772805507783"/>
    <n v="4.6539177525808082"/>
  </r>
  <r>
    <d v="2026-01-15T00:00:00"/>
    <x v="0"/>
    <s v="Iran internal unrest/crackdown"/>
    <x v="303"/>
    <n v="-4.3822768434670127"/>
    <n v="-0.43778413874389294"/>
    <n v="3.7914691943128029"/>
    <n v="-1.1534603811434265"/>
  </r>
  <r>
    <d v="2026-01-16T00:00:00"/>
    <x v="0"/>
    <m/>
    <x v="304"/>
    <n v="0.45662100456620325"/>
    <n v="-2.3829087921117549"/>
    <n v="6.0524906266738094"/>
    <n v="-1.3780508052465521"/>
  </r>
  <r>
    <d v="2026-01-20T00:00:00"/>
    <x v="0"/>
    <m/>
    <x v="305"/>
    <n v="1.5151515151515127"/>
    <n v="-2.4902975420439946"/>
    <n v="4.4336681676480696"/>
    <n v="2.1341463414634112"/>
  </r>
  <r>
    <d v="2026-01-21T00:00:00"/>
    <x v="0"/>
    <m/>
    <x v="306"/>
    <n v="0.13266998341626102"/>
    <n v="2.1139861322509725"/>
    <n v="2.4084124830393518"/>
    <n v="3.3904109589041163"/>
  </r>
  <r>
    <d v="2026-01-22T00:00:00"/>
    <x v="0"/>
    <m/>
    <x v="307"/>
    <n v="-1.888042398145082"/>
    <n v="-0.26936026936026358"/>
    <n v="-0.25256777235224548"/>
    <n v="0.9715357081983983"/>
  </r>
  <r>
    <d v="2026-01-23T00:00:00"/>
    <x v="0"/>
    <m/>
    <x v="308"/>
    <n v="2.4645509790681985"/>
    <n v="0.66334991708126978"/>
    <n v="-0.24650780608052353"/>
    <n v="5.0900277008310333"/>
  </r>
  <r>
    <d v="2026-01-26T00:00:00"/>
    <x v="0"/>
    <m/>
    <x v="309"/>
    <n v="-0.39538714991763091"/>
    <n v="0.13249420337859935"/>
    <n v="-2.2315653298835745"/>
    <n v="4.9470578024648519"/>
  </r>
  <r>
    <d v="2026-01-27T00:00:00"/>
    <x v="0"/>
    <m/>
    <x v="310"/>
    <n v="2.6132980482963917"/>
    <n v="4.7265361242403738"/>
    <n v="4.921359715880258"/>
    <n v="8.8994207477619813"/>
  </r>
  <r>
    <d v="2026-01-28T00:00:00"/>
    <x v="0"/>
    <m/>
    <x v="311"/>
    <n v="1.1444229529335925"/>
    <n v="3.3772652388797315"/>
    <n v="5.6397306397306428"/>
    <n v="13.185425685425688"/>
  </r>
  <r>
    <d v="2026-01-29T00:00:00"/>
    <x v="0"/>
    <m/>
    <x v="312"/>
    <n v="3.2191235059760896"/>
    <n v="7.1286801190869911"/>
    <n v="7.4129353233830821"/>
    <n v="15.516318887105395"/>
  </r>
  <r>
    <d v="2026-01-30T00:00:00"/>
    <x v="0"/>
    <m/>
    <x v="313"/>
    <n v="-0.41685965724872021"/>
    <n v="3.9651837524177966"/>
    <n v="6.8234514739980083"/>
    <n v="14.727854855923162"/>
  </r>
  <r>
    <d v="2026-02-02T00:00:00"/>
    <x v="0"/>
    <m/>
    <x v="314"/>
    <n v="-4.4961240310077502"/>
    <n v="-1.8326693227091611"/>
    <n v="3.9837947332883177"/>
    <n v="8.450704225352121"/>
  </r>
  <r>
    <d v="2026-02-03T00:00:00"/>
    <x v="0"/>
    <m/>
    <x v="315"/>
    <n v="1.6558441558441495"/>
    <n v="-3.3194380114250404"/>
    <n v="3.1630971993410126"/>
    <n v="7.6314884840151214"/>
  </r>
  <r>
    <d v="2026-02-04T00:00:00"/>
    <x v="0"/>
    <m/>
    <x v="210"/>
    <n v="3.0980517406579446"/>
    <n v="9.3023255813957012E-2"/>
    <n v="6.7813430367184946"/>
    <n v="10.264730999146037"/>
  </r>
  <r>
    <d v="2026-02-05T00:00:00"/>
    <x v="0"/>
    <m/>
    <x v="316"/>
    <n v="-2.571251548946722"/>
    <n v="2.110389610389606"/>
    <n v="1.3862024500322363"/>
    <n v="7.1185286103542227"/>
  </r>
  <r>
    <d v="2026-02-06T00:00:00"/>
    <x v="0"/>
    <m/>
    <x v="317"/>
    <n v="1.3831478537360962"/>
    <n v="1.836473969977652"/>
    <n v="1.6254980079681327"/>
    <n v="12.667844522968199"/>
  </r>
  <r>
    <d v="2026-02-09T00:00:00"/>
    <x v="0"/>
    <m/>
    <x v="318"/>
    <n v="1.1917829700486091"/>
    <n v="-4.6468401486990607E-2"/>
    <n v="-0.37054191755441551"/>
    <n v="11.470029366039041"/>
  </r>
  <r>
    <d v="2026-02-10T00:00:00"/>
    <x v="0"/>
    <m/>
    <x v="319"/>
    <n v="-0.51139005113900238"/>
    <n v="2.0667726550079557"/>
    <n v="-0.46511627906976299"/>
    <n v="11.091884409067319"/>
  </r>
  <r>
    <d v="2026-02-11T00:00:00"/>
    <x v="0"/>
    <m/>
    <x v="320"/>
    <n v="0.93457943925232756"/>
    <n v="1.6151795515132412"/>
    <n v="5.1948051948051877"/>
    <n v="13.168005588543485"/>
  </r>
  <r>
    <d v="2026-02-12T00:00:00"/>
    <x v="0"/>
    <m/>
    <x v="321"/>
    <n v="-2.6543209876543195"/>
    <n v="-2.2470168913683604"/>
    <n v="0.73458958799105856"/>
    <n v="10.260443978325464"/>
  </r>
  <r>
    <d v="2026-02-13T00:00:00"/>
    <x v="0"/>
    <m/>
    <x v="322"/>
    <n v="-4.7558655675334717E-2"/>
    <n v="-1.7912772585669872"/>
    <n v="-2.33890954151178"/>
    <n v="8.5197934595524885"/>
  </r>
  <r>
    <d v="2026-02-17T00:00:00"/>
    <x v="0"/>
    <m/>
    <x v="323"/>
    <n v="-0.82474226804123085"/>
    <n v="-3.5030864197530804"/>
    <n v="-0.58823529411764297"/>
    <n v="9.7595225557310918"/>
  </r>
  <r>
    <d v="2026-02-18T00:00:00"/>
    <x v="0"/>
    <m/>
    <x v="324"/>
    <n v="4.4778506316967812"/>
    <n v="3.5668991756499686"/>
    <n v="2.4462913595734594"/>
    <n v="16.639885734690235"/>
  </r>
  <r>
    <d v="2026-02-19T00:00:00"/>
    <x v="0"/>
    <m/>
    <x v="175"/>
    <n v="2.0358181539874458"/>
    <n v="5.7256145915939722"/>
    <n v="3.300790330079026"/>
    <n v="15.448562521648759"/>
  </r>
  <r>
    <d v="2026-02-20T00:00:00"/>
    <x v="1"/>
    <s v="Insurance Premiums surge"/>
    <x v="325"/>
    <n v="4.5004500450046711E-2"/>
    <n v="6.6528066528066478"/>
    <n v="3.8785046728971881"/>
    <n v="13.110583446404336"/>
  </r>
  <r>
    <d v="2026-02-23T00:00:00"/>
    <x v="1"/>
    <m/>
    <x v="326"/>
    <n v="-0.49482681061628175"/>
    <n v="1.5766110515842664"/>
    <n v="2.407407407407411"/>
    <n v="11.735982488634448"/>
  </r>
  <r>
    <d v="2026-02-24T00:00:00"/>
    <x v="1"/>
    <m/>
    <x v="327"/>
    <n v="-1.1151295961422467"/>
    <n v="-1.5601560156015482"/>
    <n v="4.0266328471781963"/>
    <n v="7.8389482333607274"/>
  </r>
  <r>
    <d v="2026-02-25T00:00:00"/>
    <x v="1"/>
    <m/>
    <x v="162"/>
    <n v="-0.4876562023773352"/>
    <n v="-2.0842705053231376"/>
    <n v="3.5685963521015074"/>
    <n v="5.5950840879689423"/>
  </r>
  <r>
    <d v="2026-02-26T00:00:00"/>
    <x v="1"/>
    <m/>
    <x v="328"/>
    <n v="-0.30627871362940712"/>
    <n v="-1.8987341772151975"/>
    <n v="4.1100271869502523"/>
    <n v="10.096397767630631"/>
  </r>
  <r>
    <d v="2026-02-27T00:00:00"/>
    <x v="2"/>
    <s v="Opertion Epic Fury"/>
    <x v="329"/>
    <n v="2.8571428571428563"/>
    <n v="2.0420603474550276"/>
    <n v="2.4950252563906252"/>
    <n v="12.72727272727272"/>
  </r>
  <r>
    <d v="2026-03-02T00:00:00"/>
    <x v="2"/>
    <m/>
    <x v="330"/>
    <n v="6.2275985663082469"/>
    <n v="8.9280245022970881"/>
    <n v="6.7056705670567043"/>
    <n v="17.960199004975124"/>
  </r>
  <r>
    <d v="2026-03-03T00:00:00"/>
    <x v="2"/>
    <m/>
    <x v="331"/>
    <n v="4.7096864895262316"/>
    <n v="14.40860215053765"/>
    <n v="11.68091168091169"/>
    <n v="23.352103345478636"/>
  </r>
  <r>
    <d v="2026-03-04T00:00:00"/>
    <x v="2"/>
    <m/>
    <x v="332"/>
    <n v="0.13426423200858528"/>
    <n v="11.379928315412194"/>
    <n v="12.386980108499095"/>
    <n v="25.894665766374064"/>
  </r>
  <r>
    <d v="2026-03-05T00:00:00"/>
    <x v="2"/>
    <s v="Iran close Strait of Hormuz"/>
    <x v="333"/>
    <n v="8.4473049074818949"/>
    <n v="13.707296499367356"/>
    <n v="23.255105150868623"/>
    <n v="33.245469522240512"/>
  </r>
  <r>
    <d v="2026-03-06T00:00:00"/>
    <x v="2"/>
    <m/>
    <x v="334"/>
    <n v="12.227992087042534"/>
    <n v="21.871643394199776"/>
    <n v="39.004594180704437"/>
    <n v="50.132318888521333"/>
  </r>
  <r>
    <d v="2026-03-09T00:00:00"/>
    <x v="2"/>
    <m/>
    <x v="335"/>
    <n v="4.274540046270805"/>
    <n v="26.910699919549486"/>
    <n v="45.391705069124441"/>
    <n v="52.562862669245661"/>
  </r>
  <r>
    <d v="2026-03-10T00:00:00"/>
    <x v="2"/>
    <s v="Tanker traffic collapses by 70%"/>
    <x v="336"/>
    <n v="-11.558372952984692"/>
    <n v="3.4990108803165167"/>
    <n v="25.014934289127837"/>
    <n v="33.402390438247004"/>
  </r>
  <r>
    <d v="2026-03-11T00:00:00"/>
    <x v="2"/>
    <m/>
    <x v="337"/>
    <n v="3.6913152550471908"/>
    <n v="-4.3736917483750126"/>
    <n v="22.03008575847041"/>
    <n v="34.012660182183112"/>
  </r>
  <r>
    <d v="2026-03-12T00:00:00"/>
    <x v="2"/>
    <m/>
    <x v="338"/>
    <n v="10.149769585253459"/>
    <n v="1.0142630744849379"/>
    <n v="28.370032223415677"/>
    <n v="48.232558139534881"/>
  </r>
  <r>
    <d v="2026-03-13T00:00:00"/>
    <x v="2"/>
    <m/>
    <x v="339"/>
    <n v="3.0017780566886358"/>
    <n v="17.644247999044332"/>
    <n v="32.046124966478956"/>
    <n v="59.870129870129873"/>
  </r>
  <r>
    <d v="2026-03-16T00:00:00"/>
    <x v="2"/>
    <m/>
    <x v="340"/>
    <n v="-5.1685621445978915"/>
    <n v="7.592165898617516"/>
    <n v="15.467359050445111"/>
    <n v="49.137655701053987"/>
  </r>
  <r>
    <d v="2026-03-17T00:00:00"/>
    <x v="2"/>
    <m/>
    <x v="341"/>
    <n v="2.805439554556167"/>
    <n v="0.41836627967786388"/>
    <n v="5.7728324336234547"/>
    <n v="48.714374225526647"/>
  </r>
  <r>
    <d v="2026-03-18T00:00:00"/>
    <x v="2"/>
    <m/>
    <x v="342"/>
    <n v="0.11457139881262308"/>
    <n v="-2.3964256701868392"/>
    <n v="1.55309033280507"/>
    <n v="52.813990461049301"/>
  </r>
  <r>
    <d v="2026-03-19T00:00:00"/>
    <x v="2"/>
    <m/>
    <x v="343"/>
    <n v="-1.040366208906067E-2"/>
    <n v="2.9125174001499077"/>
    <n v="14.813045036435321"/>
    <n v="50.713501646542255"/>
  </r>
  <r>
    <d v="2026-03-20T00:00:00"/>
    <x v="2"/>
    <s v="US begins to open strait"/>
    <x v="344"/>
    <n v="2.7052335865154453"/>
    <n v="2.8122070617643877"/>
    <n v="13.721198156682025"/>
    <n v="52.967611963427849"/>
  </r>
  <r>
    <d v="2026-03-23T00:00:00"/>
    <x v="2"/>
    <s v="Iraq/Kuwait production cuts"/>
    <x v="345"/>
    <n v="-9.5025833248910914"/>
    <n v="-7.0640865584685866"/>
    <n v="-6.5683505909423703"/>
    <n v="39.143302180685353"/>
  </r>
  <r>
    <d v="2026-03-24T00:00:00"/>
    <x v="2"/>
    <m/>
    <x v="346"/>
    <n v="4.3098623082950951"/>
    <n v="-3.0485901571116352"/>
    <n v="-5.3818034118602736"/>
    <n v="43.796296296296312"/>
  </r>
  <r>
    <d v="2026-03-25T00:00:00"/>
    <x v="2"/>
    <m/>
    <x v="347"/>
    <n v="-1.7922300922944854"/>
    <n v="-7.2940938101509367"/>
    <n v="-2.0130634971624319"/>
    <n v="45.069752694990498"/>
  </r>
  <r>
    <d v="2026-03-26T00:00:00"/>
    <x v="2"/>
    <m/>
    <x v="348"/>
    <n v="5.1032674024696769"/>
    <n v="7.668196574499059"/>
    <n v="0.17706488907405657"/>
    <n v="52.545598731165754"/>
  </r>
  <r>
    <d v="2026-03-27T00:00:00"/>
    <x v="2"/>
    <s v="Oil surges past $100"/>
    <x v="349"/>
    <n v="5.2817633603659786"/>
    <n v="8.6713887100236064"/>
    <n v="5.3474823137744485"/>
    <n v="61.938269630577324"/>
  </r>
  <r>
    <d v="2026-03-30T00:00:00"/>
    <x v="2"/>
    <m/>
    <x v="350"/>
    <n v="3.3873197708868186"/>
    <n v="14.402797508469012"/>
    <n v="8.9272708355009858"/>
    <n v="60.247971835297719"/>
  </r>
  <r>
    <d v="2026-03-31T00:00:00"/>
    <x v="2"/>
    <m/>
    <x v="351"/>
    <n v="-1.7480179577801112"/>
    <n v="6.945310875441872"/>
    <n v="4.204234626684233"/>
    <n v="54.305430543054314"/>
  </r>
  <r>
    <d v="2026-04-01T00:00:00"/>
    <x v="2"/>
    <s v="Qatar LNG tanker attacked"/>
    <x v="352"/>
    <n v="-0.93330740812754587"/>
    <n v="0.63203634208967074"/>
    <n v="14.071420575394614"/>
    <n v="52.796521217573869"/>
  </r>
  <r>
    <d v="2026-04-02T00:00:00"/>
    <x v="2"/>
    <m/>
    <x v="353"/>
    <n v="11.118743866535818"/>
    <n v="8.157417136307199"/>
    <n v="21.517493024254129"/>
    <n v="70.629897528631716"/>
  </r>
  <r>
    <d v="2026-04-03T00:00:00"/>
    <x v="2"/>
    <m/>
    <x v="354"/>
    <n v="-1.4925373134328337"/>
    <n v="8.438654481819956"/>
    <n v="21.888318216588353"/>
    <n v="69.978665041145987"/>
  </r>
  <r>
    <d v="2026-04-06T00:00:00"/>
    <x v="2"/>
    <m/>
    <x v="355"/>
    <n v="2.2144522144522134"/>
    <n v="11.884200196270852"/>
    <n v="18.538157621127048"/>
    <n v="74.594180704441058"/>
  </r>
  <r>
    <d v="2026-04-07T00:00:00"/>
    <x v="2"/>
    <m/>
    <x v="356"/>
    <n v="0.49995614419787138"/>
    <n v="1.1922635343990058"/>
    <n v="13.154256369741251"/>
    <n v="76.006144393241186"/>
  </r>
  <r>
    <d v="2026-04-08T00:00:00"/>
    <x v="2"/>
    <s v="Ceasefire announced"/>
    <x v="357"/>
    <n v="-16.067376505498341"/>
    <n v="-13.77980993365609"/>
    <n v="-8.1383131149106855"/>
    <n v="43.623058542413396"/>
  </r>
  <r>
    <d v="2026-04-09T00:00:00"/>
    <x v="2"/>
    <m/>
    <x v="358"/>
    <n v="3.5873973172507045"/>
    <n v="-12.621699850890272"/>
    <n v="-3.149912502430483"/>
    <n v="40.053423309433441"/>
  </r>
  <r>
    <d v="2026-04-10T00:00:00"/>
    <x v="2"/>
    <s v="Mine laying by Iran on strait"/>
    <x v="359"/>
    <n v="-1.2848825537040764"/>
    <n v="-14.173503229184844"/>
    <n v="-3.4936211972522098"/>
    <n v="32.035445757250265"/>
  </r>
  <r>
    <d v="2026-04-13T00:00:00"/>
    <x v="2"/>
    <s v="Tankers threatened on both sides"/>
    <x v="360"/>
    <n v="2.4201749033963753"/>
    <n v="4.7312051575335312"/>
    <n v="-11.048308752097505"/>
    <n v="35.049611155805849"/>
  </r>
  <r>
    <d v="2026-04-14T00:00:00"/>
    <x v="2"/>
    <s v="US naval blockade announced"/>
    <x v="361"/>
    <n v="-8.5583796664019101"/>
    <n v="-7.5486850030114532"/>
    <n v="-17.428725121032823"/>
    <n v="13.872403560830859"/>
  </r>
  <r>
    <d v="2026-04-15T00:00:00"/>
    <x v="2"/>
    <m/>
    <x v="362"/>
    <n v="1.0206297502714572"/>
    <n v="-5.3894651210087421"/>
    <n v="-18.393123410227172"/>
    <n v="2.5008262641842132"/>
  </r>
  <r>
    <d v="2026-04-16T00:00:00"/>
    <x v="3"/>
    <s v="Peace talks begin"/>
    <x v="360"/>
    <n v="8.2545141874462509"/>
    <n v="0"/>
    <n v="-12.096351893873276"/>
    <n v="6.4131008980454238"/>
  </r>
  <r>
    <d v="2026-04-17T00:00:00"/>
    <x v="3"/>
    <s v="Strait partially re-opens"/>
    <x v="363"/>
    <n v="-16.610405083399527"/>
    <n v="-8.8056460369163947"/>
    <n v="-12.665072267859006"/>
    <n v="0.33448811372596005"/>
  </r>
  <r>
    <d v="2026-04-20T00:00:00"/>
    <x v="3"/>
    <m/>
    <x v="364"/>
    <n v="4.2505060126205594"/>
    <n v="-5.8899398108340533"/>
    <n v="-12.106002810680588"/>
    <n v="0.87557603686636531"/>
  </r>
  <r>
    <d v="2026-04-21T00:00:00"/>
    <x v="3"/>
    <s v="Talks stall"/>
    <x v="365"/>
    <n v="2.7866605756052967"/>
    <n v="-10.643367752184272"/>
    <n v="-8.4807809640024434"/>
    <n v="-5.8675870724819577"/>
  </r>
  <r>
    <d v="2026-04-22T00:00:00"/>
    <x v="3"/>
    <m/>
    <x v="366"/>
    <n v="1.555555555555562"/>
    <n v="8.8224788665317444"/>
    <n v="-9.2533756949960217"/>
    <n v="-7.1892770105605175"/>
  </r>
  <r>
    <d v="2026-04-23T00:00:00"/>
    <x v="3"/>
    <m/>
    <x v="367"/>
    <n v="4.8687089715535983"/>
    <n v="9.4677935130196342"/>
    <n v="4.0716612377850163"/>
    <n v="2.634115001606161"/>
  </r>
  <r>
    <d v="2026-04-24T00:00:00"/>
    <x v="3"/>
    <m/>
    <x v="368"/>
    <n v="-1.512780386019811"/>
    <n v="4.8888888888888955"/>
    <n v="1.4617368873602745"/>
    <n v="-1.6769086553484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91315-0C9F-4031-8D5D-04C893DBF3F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D8" firstHeaderRow="0" firstDataRow="1" firstDataCol="1"/>
  <pivotFields count="8">
    <pivotField numFmtId="164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370">
        <item x="285"/>
        <item x="298"/>
        <item x="286"/>
        <item x="287"/>
        <item x="292"/>
        <item x="288"/>
        <item x="284"/>
        <item x="296"/>
        <item x="295"/>
        <item x="283"/>
        <item x="299"/>
        <item x="282"/>
        <item x="294"/>
        <item x="293"/>
        <item x="297"/>
        <item x="289"/>
        <item x="272"/>
        <item x="246"/>
        <item x="247"/>
        <item x="248"/>
        <item x="280"/>
        <item x="139"/>
        <item x="290"/>
        <item x="274"/>
        <item x="249"/>
        <item x="281"/>
        <item x="291"/>
        <item x="273"/>
        <item x="270"/>
        <item x="300"/>
        <item x="279"/>
        <item x="245"/>
        <item x="276"/>
        <item x="271"/>
        <item x="303"/>
        <item x="307"/>
        <item x="250"/>
        <item x="301"/>
        <item x="304"/>
        <item x="141"/>
        <item x="275"/>
        <item x="244"/>
        <item x="264"/>
        <item x="136"/>
        <item x="138"/>
        <item x="243"/>
        <item x="277"/>
        <item x="121"/>
        <item x="269"/>
        <item x="278"/>
        <item x="261"/>
        <item x="268"/>
        <item x="305"/>
        <item x="306"/>
        <item x="260"/>
        <item x="140"/>
        <item x="309"/>
        <item x="262"/>
        <item x="123"/>
        <item x="137"/>
        <item x="266"/>
        <item x="308"/>
        <item x="302"/>
        <item x="265"/>
        <item x="263"/>
        <item x="254"/>
        <item x="120"/>
        <item x="142"/>
        <item x="255"/>
        <item x="237"/>
        <item x="256"/>
        <item x="259"/>
        <item x="157"/>
        <item x="267"/>
        <item x="314"/>
        <item x="154"/>
        <item x="238"/>
        <item x="156"/>
        <item x="126"/>
        <item x="257"/>
        <item x="258"/>
        <item x="135"/>
        <item x="124"/>
        <item x="125"/>
        <item x="310"/>
        <item x="253"/>
        <item x="219"/>
        <item x="252"/>
        <item x="242"/>
        <item x="143"/>
        <item x="119"/>
        <item x="251"/>
        <item x="239"/>
        <item x="240"/>
        <item x="323"/>
        <item x="155"/>
        <item x="152"/>
        <item x="236"/>
        <item x="220"/>
        <item x="315"/>
        <item x="122"/>
        <item x="131"/>
        <item x="223"/>
        <item x="311"/>
        <item x="127"/>
        <item x="153"/>
        <item x="316"/>
        <item x="151"/>
        <item x="221"/>
        <item x="229"/>
        <item x="224"/>
        <item x="147"/>
        <item x="322"/>
        <item x="321"/>
        <item x="235"/>
        <item x="158"/>
        <item x="134"/>
        <item x="144"/>
        <item x="241"/>
        <item x="208"/>
        <item x="129"/>
        <item x="132"/>
        <item x="160"/>
        <item x="213"/>
        <item x="225"/>
        <item x="204"/>
        <item x="230"/>
        <item x="317"/>
        <item x="206"/>
        <item x="218"/>
        <item x="148"/>
        <item x="133"/>
        <item x="228"/>
        <item x="150"/>
        <item x="149"/>
        <item x="222"/>
        <item x="161"/>
        <item x="211"/>
        <item x="159"/>
        <item x="209"/>
        <item x="319"/>
        <item x="203"/>
        <item x="234"/>
        <item x="216"/>
        <item x="227"/>
        <item x="146"/>
        <item x="214"/>
        <item x="313"/>
        <item x="207"/>
        <item x="318"/>
        <item x="210"/>
        <item x="130"/>
        <item x="312"/>
        <item x="320"/>
        <item x="226"/>
        <item x="200"/>
        <item x="201"/>
        <item x="215"/>
        <item x="205"/>
        <item x="202"/>
        <item x="145"/>
        <item x="128"/>
        <item x="328"/>
        <item x="212"/>
        <item x="162"/>
        <item x="324"/>
        <item x="199"/>
        <item x="231"/>
        <item x="172"/>
        <item x="232"/>
        <item x="327"/>
        <item x="164"/>
        <item x="217"/>
        <item x="173"/>
        <item x="163"/>
        <item x="191"/>
        <item x="198"/>
        <item x="176"/>
        <item x="103"/>
        <item x="326"/>
        <item x="193"/>
        <item x="174"/>
        <item x="233"/>
        <item x="104"/>
        <item x="100"/>
        <item x="101"/>
        <item x="177"/>
        <item x="175"/>
        <item x="325"/>
        <item x="105"/>
        <item x="329"/>
        <item x="187"/>
        <item x="192"/>
        <item x="102"/>
        <item x="31"/>
        <item x="109"/>
        <item x="106"/>
        <item x="19"/>
        <item x="108"/>
        <item x="190"/>
        <item x="18"/>
        <item x="186"/>
        <item x="183"/>
        <item x="194"/>
        <item x="107"/>
        <item x="179"/>
        <item x="185"/>
        <item x="40"/>
        <item x="41"/>
        <item x="189"/>
        <item x="28"/>
        <item x="99"/>
        <item x="111"/>
        <item x="188"/>
        <item x="110"/>
        <item x="44"/>
        <item x="98"/>
        <item x="45"/>
        <item x="178"/>
        <item x="165"/>
        <item x="29"/>
        <item x="43"/>
        <item x="46"/>
        <item x="95"/>
        <item x="20"/>
        <item x="30"/>
        <item x="39"/>
        <item x="38"/>
        <item x="94"/>
        <item x="180"/>
        <item x="34"/>
        <item x="171"/>
        <item x="37"/>
        <item x="32"/>
        <item x="112"/>
        <item x="55"/>
        <item x="181"/>
        <item x="21"/>
        <item x="182"/>
        <item x="184"/>
        <item x="54"/>
        <item x="115"/>
        <item x="33"/>
        <item x="12"/>
        <item x="22"/>
        <item x="97"/>
        <item x="113"/>
        <item x="53"/>
        <item x="42"/>
        <item x="48"/>
        <item x="195"/>
        <item x="114"/>
        <item x="51"/>
        <item x="197"/>
        <item x="57"/>
        <item x="35"/>
        <item x="0"/>
        <item x="47"/>
        <item x="16"/>
        <item x="96"/>
        <item x="27"/>
        <item x="92"/>
        <item x="1"/>
        <item x="52"/>
        <item x="56"/>
        <item x="10"/>
        <item x="50"/>
        <item x="88"/>
        <item x="93"/>
        <item x="196"/>
        <item x="330"/>
        <item x="13"/>
        <item x="9"/>
        <item x="11"/>
        <item x="58"/>
        <item x="83"/>
        <item x="15"/>
        <item x="82"/>
        <item x="49"/>
        <item x="117"/>
        <item x="87"/>
        <item x="36"/>
        <item x="86"/>
        <item x="59"/>
        <item x="23"/>
        <item x="116"/>
        <item x="25"/>
        <item x="17"/>
        <item x="118"/>
        <item x="89"/>
        <item x="24"/>
        <item x="60"/>
        <item x="167"/>
        <item x="90"/>
        <item x="26"/>
        <item x="84"/>
        <item x="14"/>
        <item x="91"/>
        <item x="78"/>
        <item x="81"/>
        <item x="79"/>
        <item x="76"/>
        <item x="80"/>
        <item x="85"/>
        <item x="61"/>
        <item x="166"/>
        <item x="6"/>
        <item x="65"/>
        <item x="77"/>
        <item x="5"/>
        <item x="63"/>
        <item x="2"/>
        <item x="331"/>
        <item x="332"/>
        <item x="62"/>
        <item x="3"/>
        <item x="75"/>
        <item x="64"/>
        <item x="74"/>
        <item x="168"/>
        <item x="170"/>
        <item x="169"/>
        <item x="8"/>
        <item x="73"/>
        <item x="7"/>
        <item x="72"/>
        <item x="66"/>
        <item x="4"/>
        <item x="68"/>
        <item x="71"/>
        <item x="70"/>
        <item x="67"/>
        <item x="69"/>
        <item x="333"/>
        <item x="336"/>
        <item x="363"/>
        <item x="337"/>
        <item x="364"/>
        <item x="345"/>
        <item x="365"/>
        <item x="334"/>
        <item x="366"/>
        <item x="347"/>
        <item x="361"/>
        <item x="362"/>
        <item x="346"/>
        <item x="340"/>
        <item x="368"/>
        <item x="335"/>
        <item x="338"/>
        <item x="367"/>
        <item x="341"/>
        <item x="343"/>
        <item x="342"/>
        <item x="357"/>
        <item x="348"/>
        <item x="359"/>
        <item x="339"/>
        <item x="344"/>
        <item x="358"/>
        <item x="360"/>
        <item x="349"/>
        <item x="352"/>
        <item x="351"/>
        <item x="350"/>
        <item x="354"/>
        <item x="353"/>
        <item x="355"/>
        <item x="356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3-Day Chg(%)" fld="5" subtotal="average" baseField="1" baseItem="0"/>
    <dataField name="Average of 7-Day Chg (%)" fld="6" subtotal="average" baseField="1" baseItem="0"/>
    <dataField name="Average of 30-Day Chg (%)" fld="7" subtotal="average" baseField="1" baseItem="0"/>
  </dataFields>
  <formats count="1">
    <format dxfId="8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1" count="0"/>
        </references>
      </pivotArea>
    </format>
  </formats>
  <chartFormats count="9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198BB-4454-FC4C-9999-AA2F32929490}" name="Table1" displayName="Table1" ref="A1:H390" totalsRowShown="0" headerRowDxfId="7">
  <autoFilter ref="A1:H390" xr:uid="{D53198BB-4454-FC4C-9999-AA2F32929490}"/>
  <tableColumns count="8">
    <tableColumn id="1" xr3:uid="{8005C9BE-7D73-C64E-AB82-64643F70A26D}" name="Date" dataDxfId="6"/>
    <tableColumn id="2" xr3:uid="{ACAAACB5-3AF4-AA47-B839-54B2EB59517D}" name="Event Category" dataDxfId="5"/>
    <tableColumn id="3" xr3:uid="{5A8D0800-87CA-714B-8E4B-6BCAF803FBF4}" name="Event Description" dataDxfId="4"/>
    <tableColumn id="4" xr3:uid="{E14ACDE9-E2C8-3547-9E58-17F614912979}" name="WTI Close" dataCellStyle="Currency"/>
    <tableColumn id="5" xr3:uid="{BAB3CD49-8EFA-734A-86BA-16A9CC3EDBB9}" name="Daily Chg(%)"/>
    <tableColumn id="6" xr3:uid="{B751E235-9069-774C-B917-25E64A5653F6}" name="3-Day Chg(%)"/>
    <tableColumn id="7" xr3:uid="{47A9426E-3C7D-9A42-81BC-377FD3961552}" name="7-Day Chg (%)"/>
    <tableColumn id="8" xr3:uid="{10ABCC57-4577-2E47-B0B6-DC82607CC110}" name="30-Day Chg (%)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8898-C9CA-4F72-A79B-88CA2A5E8DD4}">
  <dimension ref="A3:D8"/>
  <sheetViews>
    <sheetView zoomScale="72" workbookViewId="0">
      <selection activeCell="E44" sqref="E44"/>
    </sheetView>
  </sheetViews>
  <sheetFormatPr baseColWidth="10" defaultColWidth="8.83203125" defaultRowHeight="15"/>
  <cols>
    <col min="1" max="1" width="19.5" bestFit="1" customWidth="1"/>
    <col min="2" max="2" width="23.1640625" bestFit="1" customWidth="1"/>
    <col min="3" max="3" width="23.5" bestFit="1" customWidth="1"/>
    <col min="4" max="5" width="24.5" bestFit="1" customWidth="1"/>
    <col min="6" max="6" width="21" bestFit="1" customWidth="1"/>
    <col min="7" max="7" width="5" bestFit="1" customWidth="1"/>
    <col min="8" max="15" width="6" bestFit="1" customWidth="1"/>
    <col min="16" max="16" width="5" bestFit="1" customWidth="1"/>
    <col min="17" max="19" width="6" bestFit="1" customWidth="1"/>
    <col min="20" max="20" width="5" bestFit="1" customWidth="1"/>
    <col min="21" max="21" width="6" bestFit="1" customWidth="1"/>
    <col min="22" max="23" width="5" bestFit="1" customWidth="1"/>
    <col min="24" max="37" width="6" bestFit="1" customWidth="1"/>
    <col min="38" max="38" width="5" bestFit="1" customWidth="1"/>
    <col min="39" max="39" width="6" bestFit="1" customWidth="1"/>
    <col min="40" max="40" width="5" bestFit="1" customWidth="1"/>
    <col min="41" max="53" width="6" bestFit="1" customWidth="1"/>
    <col min="54" max="54" width="5" bestFit="1" customWidth="1"/>
    <col min="55" max="55" width="6" bestFit="1" customWidth="1"/>
    <col min="56" max="56" width="5" bestFit="1" customWidth="1"/>
    <col min="57" max="62" width="6" bestFit="1" customWidth="1"/>
    <col min="63" max="63" width="5" bestFit="1" customWidth="1"/>
    <col min="64" max="75" width="6" bestFit="1" customWidth="1"/>
    <col min="76" max="76" width="5" bestFit="1" customWidth="1"/>
    <col min="77" max="99" width="6" bestFit="1" customWidth="1"/>
    <col min="100" max="100" width="5" bestFit="1" customWidth="1"/>
    <col min="101" max="107" width="6" bestFit="1" customWidth="1"/>
    <col min="108" max="108" width="5" bestFit="1" customWidth="1"/>
    <col min="109" max="117" width="6" bestFit="1" customWidth="1"/>
    <col min="118" max="118" width="5" bestFit="1" customWidth="1"/>
    <col min="119" max="124" width="6" bestFit="1" customWidth="1"/>
    <col min="125" max="125" width="5" bestFit="1" customWidth="1"/>
    <col min="126" max="139" width="6" bestFit="1" customWidth="1"/>
    <col min="140" max="140" width="5" bestFit="1" customWidth="1"/>
    <col min="141" max="141" width="6" bestFit="1" customWidth="1"/>
    <col min="142" max="142" width="5" bestFit="1" customWidth="1"/>
    <col min="143" max="148" width="6" bestFit="1" customWidth="1"/>
    <col min="149" max="149" width="5" bestFit="1" customWidth="1"/>
    <col min="150" max="152" width="6" bestFit="1" customWidth="1"/>
    <col min="153" max="153" width="5" bestFit="1" customWidth="1"/>
    <col min="154" max="154" width="6" bestFit="1" customWidth="1"/>
    <col min="155" max="155" width="5" bestFit="1" customWidth="1"/>
    <col min="156" max="156" width="6" bestFit="1" customWidth="1"/>
    <col min="157" max="157" width="5" bestFit="1" customWidth="1"/>
    <col min="158" max="163" width="6" bestFit="1" customWidth="1"/>
    <col min="164" max="164" width="5" bestFit="1" customWidth="1"/>
    <col min="165" max="165" width="6" bestFit="1" customWidth="1"/>
    <col min="166" max="166" width="5" bestFit="1" customWidth="1"/>
    <col min="167" max="168" width="6" bestFit="1" customWidth="1"/>
    <col min="169" max="169" width="5" bestFit="1" customWidth="1"/>
    <col min="170" max="177" width="6" bestFit="1" customWidth="1"/>
    <col min="178" max="179" width="5" bestFit="1" customWidth="1"/>
    <col min="180" max="183" width="6" bestFit="1" customWidth="1"/>
    <col min="184" max="184" width="5" bestFit="1" customWidth="1"/>
    <col min="185" max="196" width="6" bestFit="1" customWidth="1"/>
    <col min="197" max="197" width="5" bestFit="1" customWidth="1"/>
    <col min="198" max="236" width="6" bestFit="1" customWidth="1"/>
    <col min="237" max="237" width="5" bestFit="1" customWidth="1"/>
    <col min="238" max="248" width="6" bestFit="1" customWidth="1"/>
    <col min="249" max="249" width="5" bestFit="1" customWidth="1"/>
    <col min="250" max="252" width="6" bestFit="1" customWidth="1"/>
    <col min="253" max="253" width="5" bestFit="1" customWidth="1"/>
    <col min="254" max="264" width="6" bestFit="1" customWidth="1"/>
    <col min="265" max="265" width="5" bestFit="1" customWidth="1"/>
    <col min="266" max="301" width="6" bestFit="1" customWidth="1"/>
    <col min="302" max="302" width="5" bestFit="1" customWidth="1"/>
    <col min="303" max="329" width="6" bestFit="1" customWidth="1"/>
    <col min="330" max="330" width="5" bestFit="1" customWidth="1"/>
    <col min="331" max="337" width="6" bestFit="1" customWidth="1"/>
    <col min="338" max="338" width="5" bestFit="1" customWidth="1"/>
    <col min="339" max="340" width="6" bestFit="1" customWidth="1"/>
    <col min="341" max="341" width="3" bestFit="1" customWidth="1"/>
    <col min="342" max="342" width="6" bestFit="1" customWidth="1"/>
    <col min="343" max="343" width="5" bestFit="1" customWidth="1"/>
    <col min="344" max="344" width="6" bestFit="1" customWidth="1"/>
    <col min="345" max="345" width="5" bestFit="1" customWidth="1"/>
    <col min="346" max="348" width="6" bestFit="1" customWidth="1"/>
    <col min="349" max="349" width="5" bestFit="1" customWidth="1"/>
    <col min="350" max="361" width="6" bestFit="1" customWidth="1"/>
    <col min="362" max="363" width="7" bestFit="1" customWidth="1"/>
    <col min="364" max="364" width="6" bestFit="1" customWidth="1"/>
    <col min="365" max="370" width="7" bestFit="1" customWidth="1"/>
    <col min="371" max="371" width="11.33203125" bestFit="1" customWidth="1"/>
  </cols>
  <sheetData>
    <row r="3" spans="1:4">
      <c r="A3" s="5" t="s">
        <v>36</v>
      </c>
      <c r="B3" t="s">
        <v>38</v>
      </c>
      <c r="C3" t="s">
        <v>39</v>
      </c>
      <c r="D3" t="s">
        <v>40</v>
      </c>
    </row>
    <row r="4" spans="1:4">
      <c r="A4" s="6" t="s">
        <v>11</v>
      </c>
      <c r="B4" s="1">
        <v>-0.68454872806262035</v>
      </c>
      <c r="C4" s="1">
        <v>-2.3738781724722355</v>
      </c>
      <c r="D4" s="1">
        <v>-0.12309464180500411</v>
      </c>
    </row>
    <row r="5" spans="1:4">
      <c r="A5" s="6" t="s">
        <v>8</v>
      </c>
      <c r="B5" s="1">
        <v>0.58571226206072491</v>
      </c>
      <c r="C5" s="1">
        <v>1.2368647601774985</v>
      </c>
      <c r="D5" s="1">
        <v>3.7344378969790881</v>
      </c>
    </row>
    <row r="6" spans="1:4">
      <c r="A6" s="6" t="s">
        <v>10</v>
      </c>
      <c r="B6" s="1">
        <v>3.5253776251267155</v>
      </c>
      <c r="C6" s="1">
        <v>8.56946482071662</v>
      </c>
      <c r="D6" s="1">
        <v>33.379593175588916</v>
      </c>
    </row>
    <row r="7" spans="1:4">
      <c r="A7" s="6" t="s">
        <v>34</v>
      </c>
      <c r="B7" s="1">
        <v>-0.37151805948202232</v>
      </c>
      <c r="C7" s="1">
        <v>-0.83248499067298054</v>
      </c>
      <c r="D7" s="1">
        <v>-3.4091079972226797</v>
      </c>
    </row>
    <row r="8" spans="1:4" hidden="1">
      <c r="A8" s="6" t="s">
        <v>37</v>
      </c>
      <c r="B8">
        <v>0.31167067626645856</v>
      </c>
      <c r="C8">
        <v>0.63913907565077499</v>
      </c>
      <c r="D8">
        <v>3.4503982596074096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B9D3-34E8-524A-B57C-8DE60B9DA3FD}">
  <dimension ref="A1:M390"/>
  <sheetViews>
    <sheetView tabSelected="1" topLeftCell="C1" zoomScale="49" workbookViewId="0">
      <selection activeCell="J24" sqref="J24:K45"/>
    </sheetView>
  </sheetViews>
  <sheetFormatPr baseColWidth="10" defaultColWidth="11.5" defaultRowHeight="15"/>
  <cols>
    <col min="1" max="1" width="33.83203125" customWidth="1"/>
    <col min="2" max="2" width="21" customWidth="1"/>
    <col min="3" max="3" width="50.1640625" bestFit="1" customWidth="1"/>
    <col min="4" max="4" width="15.83203125" customWidth="1"/>
    <col min="5" max="5" width="17.83203125" bestFit="1" customWidth="1"/>
    <col min="6" max="6" width="15.6640625" customWidth="1"/>
    <col min="7" max="7" width="19.5" bestFit="1" customWidth="1"/>
    <col min="8" max="8" width="20.83203125" bestFit="1" customWidth="1"/>
    <col min="9" max="9" width="15.83203125" customWidth="1"/>
    <col min="10" max="10" width="24.5" bestFit="1" customWidth="1"/>
    <col min="11" max="11" width="22.33203125" bestFit="1" customWidth="1"/>
    <col min="12" max="12" width="22.83203125" bestFit="1" customWidth="1"/>
    <col min="13" max="13" width="18.33203125" bestFit="1" customWidth="1"/>
    <col min="17" max="17" width="10.83203125" customWidth="1"/>
  </cols>
  <sheetData>
    <row r="1" spans="1:13" ht="21">
      <c r="A1" s="2" t="s">
        <v>0</v>
      </c>
      <c r="B1" s="2" t="s">
        <v>7</v>
      </c>
      <c r="C1" s="2" t="s">
        <v>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/>
      <c r="J1" s="2"/>
      <c r="K1" s="2"/>
      <c r="L1" s="2"/>
      <c r="M1" s="2"/>
    </row>
    <row r="2" spans="1:13">
      <c r="A2" s="8">
        <v>45566</v>
      </c>
      <c r="B2" s="4" t="s">
        <v>8</v>
      </c>
      <c r="C2" s="4"/>
      <c r="D2" s="7">
        <v>70.41</v>
      </c>
    </row>
    <row r="3" spans="1:13">
      <c r="A3" s="8">
        <v>45567</v>
      </c>
      <c r="B3" s="4" t="s">
        <v>8</v>
      </c>
      <c r="C3" s="4"/>
      <c r="D3" s="7">
        <v>70.739999999999995</v>
      </c>
      <c r="E3" s="1">
        <f>(D3-D2)/D2 * 100</f>
        <v>0.46868342564976329</v>
      </c>
    </row>
    <row r="4" spans="1:13">
      <c r="A4" s="8">
        <v>45568</v>
      </c>
      <c r="B4" s="4" t="s">
        <v>8</v>
      </c>
      <c r="C4" s="4"/>
      <c r="D4" s="7">
        <v>74.33</v>
      </c>
      <c r="E4" s="1">
        <f t="shared" ref="E4:E67" si="0">(D4-D3)/D3 * 100</f>
        <v>5.0749222504947751</v>
      </c>
    </row>
    <row r="5" spans="1:13">
      <c r="A5" s="8">
        <v>45569</v>
      </c>
      <c r="B5" s="4" t="s">
        <v>8</v>
      </c>
      <c r="C5" s="4"/>
      <c r="D5" s="7">
        <v>74.930000000000007</v>
      </c>
      <c r="E5" s="1">
        <f t="shared" si="0"/>
        <v>0.80721108569892175</v>
      </c>
      <c r="F5" s="1">
        <f>(D5-D2)/D2*100</f>
        <v>6.4195426785968053</v>
      </c>
    </row>
    <row r="6" spans="1:13">
      <c r="A6" s="8">
        <v>45572</v>
      </c>
      <c r="B6" s="4" t="s">
        <v>8</v>
      </c>
      <c r="C6" s="4" t="s">
        <v>35</v>
      </c>
      <c r="D6" s="7">
        <v>77.760000000000005</v>
      </c>
      <c r="E6" s="1">
        <f t="shared" si="0"/>
        <v>3.7768584011744268</v>
      </c>
      <c r="F6" s="1">
        <f t="shared" ref="F6:F69" si="1">(D6-D3)/D3*100</f>
        <v>9.9236641221374189</v>
      </c>
    </row>
    <row r="7" spans="1:13">
      <c r="A7" s="8">
        <v>45573</v>
      </c>
      <c r="B7" s="4" t="s">
        <v>8</v>
      </c>
      <c r="C7" s="4"/>
      <c r="D7" s="7">
        <v>74.260000000000005</v>
      </c>
      <c r="E7" s="1">
        <f t="shared" si="0"/>
        <v>-4.5010288065843618</v>
      </c>
      <c r="F7" s="1">
        <f t="shared" si="1"/>
        <v>-9.4174626664863689E-2</v>
      </c>
    </row>
    <row r="8" spans="1:13">
      <c r="A8" s="8">
        <v>45574</v>
      </c>
      <c r="B8" s="4" t="s">
        <v>8</v>
      </c>
      <c r="C8" s="4"/>
      <c r="D8" s="7">
        <v>73.849999999999994</v>
      </c>
      <c r="E8" s="1">
        <f t="shared" si="0"/>
        <v>-0.55211419337464418</v>
      </c>
      <c r="F8" s="1">
        <f t="shared" si="1"/>
        <v>-1.4413452555718835</v>
      </c>
    </row>
    <row r="9" spans="1:13">
      <c r="A9" s="8">
        <v>45575</v>
      </c>
      <c r="B9" s="4" t="s">
        <v>8</v>
      </c>
      <c r="C9" s="4"/>
      <c r="D9" s="7">
        <v>76.459999999999994</v>
      </c>
      <c r="E9" s="1">
        <f t="shared" si="0"/>
        <v>3.5341909275558558</v>
      </c>
      <c r="F9" s="1">
        <f t="shared" si="1"/>
        <v>-1.671810699588492</v>
      </c>
      <c r="G9" s="1">
        <f>(D9-D2)/D2*100</f>
        <v>8.5925294702456991</v>
      </c>
    </row>
    <row r="10" spans="1:13">
      <c r="A10" s="8">
        <v>45576</v>
      </c>
      <c r="B10" s="4" t="s">
        <v>8</v>
      </c>
      <c r="C10" s="4"/>
      <c r="D10" s="7">
        <v>76.11</v>
      </c>
      <c r="E10" s="1">
        <f t="shared" si="0"/>
        <v>-0.45775568924927323</v>
      </c>
      <c r="F10" s="1">
        <f t="shared" si="1"/>
        <v>2.4912469701050286</v>
      </c>
      <c r="G10" s="1">
        <f t="shared" ref="G10:G73" si="2">(D10-D3)/D3*100</f>
        <v>7.5911789652247732</v>
      </c>
    </row>
    <row r="11" spans="1:13">
      <c r="A11" s="8">
        <v>45580</v>
      </c>
      <c r="B11" s="4" t="s">
        <v>8</v>
      </c>
      <c r="C11" s="4"/>
      <c r="D11" s="7">
        <v>71.22</v>
      </c>
      <c r="E11" s="1">
        <f t="shared" si="0"/>
        <v>-6.424911312573907</v>
      </c>
      <c r="F11" s="1">
        <f t="shared" si="1"/>
        <v>-3.5612728503723705</v>
      </c>
      <c r="G11" s="1">
        <f t="shared" si="2"/>
        <v>-4.1840441275393507</v>
      </c>
    </row>
    <row r="12" spans="1:13">
      <c r="A12" s="8">
        <v>45581</v>
      </c>
      <c r="B12" s="4" t="s">
        <v>8</v>
      </c>
      <c r="C12" s="4"/>
      <c r="D12" s="7">
        <v>70.97</v>
      </c>
      <c r="E12" s="1">
        <f t="shared" si="0"/>
        <v>-0.35102499297950013</v>
      </c>
      <c r="F12" s="1">
        <f t="shared" si="1"/>
        <v>-7.1802249542244247</v>
      </c>
      <c r="G12" s="1">
        <f t="shared" si="2"/>
        <v>-5.2849326037635231</v>
      </c>
    </row>
    <row r="13" spans="1:13">
      <c r="A13" s="8">
        <v>45582</v>
      </c>
      <c r="B13" s="4" t="s">
        <v>8</v>
      </c>
      <c r="C13" s="4"/>
      <c r="D13" s="7">
        <v>71.260000000000005</v>
      </c>
      <c r="E13" s="1">
        <f t="shared" si="0"/>
        <v>0.40862336198394567</v>
      </c>
      <c r="F13" s="1">
        <f t="shared" si="1"/>
        <v>-6.3723558008146028</v>
      </c>
      <c r="G13" s="1">
        <f t="shared" si="2"/>
        <v>-8.3590534979423872</v>
      </c>
    </row>
    <row r="14" spans="1:13">
      <c r="A14" s="8">
        <v>45583</v>
      </c>
      <c r="B14" s="4" t="s">
        <v>8</v>
      </c>
      <c r="C14" s="4"/>
      <c r="D14" s="7">
        <v>69.78</v>
      </c>
      <c r="E14" s="1">
        <f t="shared" si="0"/>
        <v>-2.0769014875105305</v>
      </c>
      <c r="F14" s="1">
        <f t="shared" si="1"/>
        <v>-2.0219039595619175</v>
      </c>
      <c r="G14" s="1">
        <f t="shared" si="2"/>
        <v>-6.0328575276057146</v>
      </c>
    </row>
    <row r="15" spans="1:13">
      <c r="A15" s="8">
        <v>45586</v>
      </c>
      <c r="B15" s="4" t="s">
        <v>8</v>
      </c>
      <c r="C15" s="4"/>
      <c r="D15" s="7">
        <v>71.16</v>
      </c>
      <c r="E15" s="1">
        <f t="shared" si="0"/>
        <v>1.9776440240756599</v>
      </c>
      <c r="F15" s="1">
        <f t="shared" si="1"/>
        <v>0.26771875440326581</v>
      </c>
      <c r="G15" s="1">
        <f t="shared" si="2"/>
        <v>-3.6425186188219336</v>
      </c>
    </row>
    <row r="16" spans="1:13">
      <c r="A16" s="8">
        <v>45587</v>
      </c>
      <c r="B16" s="4" t="s">
        <v>8</v>
      </c>
      <c r="C16" s="4"/>
      <c r="D16" s="7">
        <v>72.84</v>
      </c>
      <c r="E16" s="1">
        <f t="shared" si="0"/>
        <v>2.3608768971332306</v>
      </c>
      <c r="F16" s="1">
        <f t="shared" si="1"/>
        <v>2.2172326690990714</v>
      </c>
      <c r="G16" s="1">
        <f t="shared" si="2"/>
        <v>-4.7345017002354055</v>
      </c>
    </row>
    <row r="17" spans="1:11">
      <c r="A17" s="8">
        <v>45588</v>
      </c>
      <c r="B17" s="4" t="s">
        <v>8</v>
      </c>
      <c r="C17" s="4"/>
      <c r="D17" s="7">
        <v>71.37</v>
      </c>
      <c r="E17" s="1">
        <f t="shared" si="0"/>
        <v>-2.0181219110378898</v>
      </c>
      <c r="F17" s="1">
        <f t="shared" si="1"/>
        <v>2.2785898538263161</v>
      </c>
      <c r="G17" s="1">
        <f t="shared" si="2"/>
        <v>-6.2278281434765406</v>
      </c>
    </row>
    <row r="18" spans="1:11">
      <c r="A18" s="8">
        <v>45589</v>
      </c>
      <c r="B18" s="4" t="s">
        <v>8</v>
      </c>
      <c r="C18" s="4"/>
      <c r="D18" s="7">
        <v>70.58</v>
      </c>
      <c r="E18" s="1">
        <f t="shared" si="0"/>
        <v>-1.1069076642847222</v>
      </c>
      <c r="F18" s="1">
        <f t="shared" si="1"/>
        <v>-0.81506464305789539</v>
      </c>
      <c r="G18" s="1">
        <f t="shared" si="2"/>
        <v>-0.89862398202752125</v>
      </c>
    </row>
    <row r="19" spans="1:11">
      <c r="A19" s="8">
        <v>45590</v>
      </c>
      <c r="B19" s="4" t="s">
        <v>8</v>
      </c>
      <c r="C19" s="4"/>
      <c r="D19" s="7">
        <v>72.02</v>
      </c>
      <c r="E19" s="1">
        <f t="shared" si="0"/>
        <v>2.0402380277699033</v>
      </c>
      <c r="F19" s="1">
        <f t="shared" si="1"/>
        <v>-1.1257550796265887</v>
      </c>
      <c r="G19" s="1">
        <f t="shared" si="2"/>
        <v>1.4794983795970087</v>
      </c>
    </row>
    <row r="20" spans="1:11">
      <c r="A20" s="8">
        <v>45593</v>
      </c>
      <c r="B20" s="4" t="s">
        <v>8</v>
      </c>
      <c r="C20" s="4"/>
      <c r="D20" s="7">
        <v>67.650000000000006</v>
      </c>
      <c r="E20" s="1">
        <f t="shared" si="0"/>
        <v>-6.0677589558455853</v>
      </c>
      <c r="F20" s="1">
        <f t="shared" si="1"/>
        <v>-5.2122740647330792</v>
      </c>
      <c r="G20" s="1">
        <f t="shared" si="2"/>
        <v>-5.0659556553466167</v>
      </c>
    </row>
    <row r="21" spans="1:11">
      <c r="A21" s="8">
        <v>45594</v>
      </c>
      <c r="B21" s="4" t="s">
        <v>8</v>
      </c>
      <c r="C21" s="4"/>
      <c r="D21" s="7">
        <v>67.48</v>
      </c>
      <c r="E21" s="1">
        <f t="shared" si="0"/>
        <v>-0.25129342202513183</v>
      </c>
      <c r="F21" s="1">
        <f t="shared" si="1"/>
        <v>-4.3921790875602076</v>
      </c>
      <c r="G21" s="1">
        <f t="shared" si="2"/>
        <v>-3.2960733734594396</v>
      </c>
    </row>
    <row r="22" spans="1:11">
      <c r="A22" s="8">
        <v>45595</v>
      </c>
      <c r="B22" s="4" t="s">
        <v>8</v>
      </c>
      <c r="C22" s="4"/>
      <c r="D22" s="7">
        <v>68.91</v>
      </c>
      <c r="E22" s="1">
        <f t="shared" si="0"/>
        <v>2.1191464137522118</v>
      </c>
      <c r="F22" s="1">
        <f t="shared" si="1"/>
        <v>-4.3182449319633429</v>
      </c>
      <c r="G22" s="1">
        <f t="shared" si="2"/>
        <v>-3.1618887015177064</v>
      </c>
    </row>
    <row r="23" spans="1:11">
      <c r="A23" s="8">
        <v>45596</v>
      </c>
      <c r="B23" s="4" t="s">
        <v>8</v>
      </c>
      <c r="C23" s="4"/>
      <c r="D23" s="7">
        <v>69.58</v>
      </c>
      <c r="E23" s="1">
        <f t="shared" si="0"/>
        <v>0.97228268756349101</v>
      </c>
      <c r="F23" s="1">
        <f t="shared" si="1"/>
        <v>2.8529194382852809</v>
      </c>
      <c r="G23" s="1">
        <f t="shared" si="2"/>
        <v>-4.4755628775398204</v>
      </c>
    </row>
    <row r="24" spans="1:11">
      <c r="A24" s="8">
        <v>45597</v>
      </c>
      <c r="B24" s="4" t="s">
        <v>8</v>
      </c>
      <c r="C24" s="4"/>
      <c r="D24" s="7">
        <v>69.81</v>
      </c>
      <c r="E24" s="1">
        <f t="shared" si="0"/>
        <v>0.33055475711411897</v>
      </c>
      <c r="F24" s="1">
        <f t="shared" si="1"/>
        <v>3.4528749259039691</v>
      </c>
      <c r="G24" s="1">
        <f t="shared" si="2"/>
        <v>-2.1857923497267793</v>
      </c>
      <c r="J24" t="s">
        <v>41</v>
      </c>
    </row>
    <row r="25" spans="1:11">
      <c r="A25" s="8">
        <v>45600</v>
      </c>
      <c r="B25" s="4" t="s">
        <v>8</v>
      </c>
      <c r="C25" s="4"/>
      <c r="D25" s="7">
        <v>71.83</v>
      </c>
      <c r="E25" s="1">
        <f t="shared" si="0"/>
        <v>2.8935682566967427</v>
      </c>
      <c r="F25" s="1">
        <f t="shared" si="1"/>
        <v>4.2374111159483414</v>
      </c>
      <c r="G25" s="1">
        <f t="shared" si="2"/>
        <v>1.7710399546613773</v>
      </c>
      <c r="J25" t="s">
        <v>42</v>
      </c>
      <c r="K25" s="1">
        <f>AVERAGE(Table1[WTI Close])</f>
        <v>68.939485861182533</v>
      </c>
    </row>
    <row r="26" spans="1:11">
      <c r="A26" s="8">
        <v>45601</v>
      </c>
      <c r="B26" s="4" t="s">
        <v>8</v>
      </c>
      <c r="C26" s="4"/>
      <c r="D26" s="7">
        <v>72.260000000000005</v>
      </c>
      <c r="E26" s="1">
        <f t="shared" si="0"/>
        <v>0.5986356675483876</v>
      </c>
      <c r="F26" s="1">
        <f t="shared" si="1"/>
        <v>3.8516815176775037</v>
      </c>
      <c r="G26" s="1">
        <f t="shared" si="2"/>
        <v>0.33324076645377548</v>
      </c>
      <c r="J26" t="s">
        <v>43</v>
      </c>
      <c r="K26">
        <f>MEDIAN(Table1[WTI Close])</f>
        <v>66.64</v>
      </c>
    </row>
    <row r="27" spans="1:11">
      <c r="A27" s="8">
        <v>45602</v>
      </c>
      <c r="B27" s="4" t="s">
        <v>8</v>
      </c>
      <c r="C27" s="4"/>
      <c r="D27" s="7">
        <v>71.98</v>
      </c>
      <c r="E27" s="1">
        <f t="shared" si="0"/>
        <v>-0.38748962081372973</v>
      </c>
      <c r="F27" s="1">
        <f t="shared" si="1"/>
        <v>3.1084371866494798</v>
      </c>
      <c r="G27" s="1">
        <f t="shared" si="2"/>
        <v>6.4005912786400554</v>
      </c>
      <c r="J27" t="s">
        <v>44</v>
      </c>
      <c r="K27">
        <f>MIN(Table1[WTI Close])</f>
        <v>55.44</v>
      </c>
    </row>
    <row r="28" spans="1:11">
      <c r="A28" s="8">
        <v>45603</v>
      </c>
      <c r="B28" s="4" t="s">
        <v>8</v>
      </c>
      <c r="C28" s="4"/>
      <c r="D28" s="7">
        <v>72.69</v>
      </c>
      <c r="E28" s="1">
        <f t="shared" si="0"/>
        <v>0.98638510697415072</v>
      </c>
      <c r="F28" s="1">
        <f t="shared" si="1"/>
        <v>1.1972713350967554</v>
      </c>
      <c r="G28" s="1">
        <f t="shared" si="2"/>
        <v>7.7208061647895576</v>
      </c>
      <c r="J28" t="s">
        <v>45</v>
      </c>
      <c r="K28">
        <f>MAX(Table1[WTI Close])</f>
        <v>114.58</v>
      </c>
    </row>
    <row r="29" spans="1:11">
      <c r="A29" s="8">
        <v>45604</v>
      </c>
      <c r="B29" s="4" t="s">
        <v>8</v>
      </c>
      <c r="C29" s="4"/>
      <c r="D29" s="7">
        <v>70.69</v>
      </c>
      <c r="E29" s="1">
        <f t="shared" si="0"/>
        <v>-2.7514100976750586</v>
      </c>
      <c r="F29" s="1">
        <f t="shared" si="1"/>
        <v>-2.1727096595627002</v>
      </c>
      <c r="G29" s="1">
        <f t="shared" si="2"/>
        <v>2.5830793789000159</v>
      </c>
      <c r="J29" t="s">
        <v>46</v>
      </c>
      <c r="K29" s="1">
        <f>STDEV(Table1[WTI Close])</f>
        <v>10.535780872861585</v>
      </c>
    </row>
    <row r="30" spans="1:11">
      <c r="A30" s="8">
        <v>45608</v>
      </c>
      <c r="B30" s="4" t="s">
        <v>8</v>
      </c>
      <c r="C30" s="4"/>
      <c r="D30" s="7">
        <v>68.430000000000007</v>
      </c>
      <c r="E30" s="1">
        <f t="shared" si="0"/>
        <v>-3.1970575753288886</v>
      </c>
      <c r="F30" s="1">
        <f t="shared" si="1"/>
        <v>-4.9319255348707927</v>
      </c>
      <c r="G30" s="1">
        <f t="shared" si="2"/>
        <v>-1.6527737855705542</v>
      </c>
      <c r="H30" s="1">
        <f>(D30-D2)/D2*100</f>
        <v>-2.8121005538985795</v>
      </c>
    </row>
    <row r="31" spans="1:11">
      <c r="A31" s="8">
        <v>45609</v>
      </c>
      <c r="B31" s="4" t="s">
        <v>8</v>
      </c>
      <c r="C31" s="4"/>
      <c r="D31" s="7">
        <v>68.760000000000005</v>
      </c>
      <c r="E31" s="1">
        <f t="shared" si="0"/>
        <v>0.48224462954844116</v>
      </c>
      <c r="F31" s="1">
        <f t="shared" si="1"/>
        <v>-5.4065208419314805</v>
      </c>
      <c r="G31" s="1">
        <f t="shared" si="2"/>
        <v>-1.5040825096690977</v>
      </c>
      <c r="H31" s="1">
        <f t="shared" ref="H31:H94" si="3">(D31-D3)/D3*100</f>
        <v>-2.7989821882951511</v>
      </c>
      <c r="J31" t="s">
        <v>47</v>
      </c>
      <c r="K31" t="s">
        <v>48</v>
      </c>
    </row>
    <row r="32" spans="1:11">
      <c r="A32" s="8">
        <v>45610</v>
      </c>
      <c r="B32" s="4" t="s">
        <v>8</v>
      </c>
      <c r="C32" s="4"/>
      <c r="D32" s="7">
        <v>68.989999999999995</v>
      </c>
      <c r="E32" s="1">
        <f t="shared" si="0"/>
        <v>0.33449680046537195</v>
      </c>
      <c r="F32" s="1">
        <f t="shared" si="1"/>
        <v>-2.4048663177252836</v>
      </c>
      <c r="G32" s="1">
        <f t="shared" si="2"/>
        <v>-3.953779757761386</v>
      </c>
      <c r="H32" s="1">
        <f t="shared" si="3"/>
        <v>-7.1841786627203055</v>
      </c>
      <c r="J32" s="9">
        <v>55</v>
      </c>
      <c r="K32">
        <f>COUNTIFS(Table1[WTI Close], "&gt;="&amp;J32, Table1[WTI Close], "&lt;"&amp;J33)</f>
        <v>50</v>
      </c>
    </row>
    <row r="33" spans="1:11">
      <c r="A33" s="8">
        <v>45611</v>
      </c>
      <c r="B33" s="4" t="s">
        <v>8</v>
      </c>
      <c r="C33" s="4"/>
      <c r="D33" s="7">
        <v>67.33</v>
      </c>
      <c r="E33" s="1">
        <f t="shared" si="0"/>
        <v>-2.4061458182345219</v>
      </c>
      <c r="F33" s="1">
        <f t="shared" si="1"/>
        <v>-1.6074820984948244</v>
      </c>
      <c r="G33" s="1">
        <f t="shared" si="2"/>
        <v>-6.8225851093274379</v>
      </c>
      <c r="H33" s="1">
        <f t="shared" si="3"/>
        <v>-10.142799946616853</v>
      </c>
      <c r="J33" s="9">
        <v>60</v>
      </c>
      <c r="K33">
        <f>COUNTIFS(Table1[WTI Close], "&gt;="&amp;J33, Table1[WTI Close], "&lt;"&amp;J34)</f>
        <v>116</v>
      </c>
    </row>
    <row r="34" spans="1:11">
      <c r="A34" s="8">
        <v>45614</v>
      </c>
      <c r="B34" s="4" t="s">
        <v>8</v>
      </c>
      <c r="C34" s="4"/>
      <c r="D34" s="7">
        <v>69.459999999999994</v>
      </c>
      <c r="E34" s="1">
        <f t="shared" si="0"/>
        <v>3.1635229466805219</v>
      </c>
      <c r="F34" s="1">
        <f t="shared" si="1"/>
        <v>1.0180337405468129</v>
      </c>
      <c r="G34" s="1">
        <f t="shared" si="2"/>
        <v>-3.5009724923590024</v>
      </c>
      <c r="H34" s="1">
        <f t="shared" si="3"/>
        <v>-10.673868312757216</v>
      </c>
      <c r="J34" s="9">
        <v>65</v>
      </c>
      <c r="K34">
        <f>COUNTIFS(Table1[WTI Close], "&gt;="&amp;J34, Table1[WTI Close], "&lt;"&amp;J35)</f>
        <v>97</v>
      </c>
    </row>
    <row r="35" spans="1:11">
      <c r="A35" s="8">
        <v>45615</v>
      </c>
      <c r="B35" s="4" t="s">
        <v>8</v>
      </c>
      <c r="C35" s="4"/>
      <c r="D35" s="7">
        <v>69.75</v>
      </c>
      <c r="E35" s="1">
        <f t="shared" si="0"/>
        <v>0.41750647854881406</v>
      </c>
      <c r="F35" s="1">
        <f t="shared" si="1"/>
        <v>1.1016089288302726</v>
      </c>
      <c r="G35" s="1">
        <f t="shared" si="2"/>
        <v>-4.0445728435823325</v>
      </c>
      <c r="H35" s="1">
        <f t="shared" si="3"/>
        <v>-6.0732561271209331</v>
      </c>
      <c r="J35" s="9">
        <v>70</v>
      </c>
      <c r="K35">
        <f>COUNTIFS(Table1[WTI Close], "&gt;="&amp;J35, Table1[WTI Close], "&lt;"&amp;J36)</f>
        <v>74</v>
      </c>
    </row>
    <row r="36" spans="1:11">
      <c r="A36" s="8">
        <v>45616</v>
      </c>
      <c r="B36" s="4" t="s">
        <v>8</v>
      </c>
      <c r="C36" s="4"/>
      <c r="D36" s="7">
        <v>69.25</v>
      </c>
      <c r="E36" s="1">
        <f t="shared" si="0"/>
        <v>-0.71684587813620071</v>
      </c>
      <c r="F36" s="1">
        <f t="shared" si="1"/>
        <v>2.8516263181345636</v>
      </c>
      <c r="G36" s="1">
        <f t="shared" si="2"/>
        <v>-2.0370632338378809</v>
      </c>
      <c r="H36" s="1">
        <f t="shared" si="3"/>
        <v>-6.2288422477995864</v>
      </c>
      <c r="J36" s="9">
        <v>75</v>
      </c>
      <c r="K36">
        <f>COUNTIFS(Table1[WTI Close], "&gt;="&amp;J36, Table1[WTI Close], "&lt;"&amp;J37)</f>
        <v>14</v>
      </c>
    </row>
    <row r="37" spans="1:11">
      <c r="A37" s="8">
        <v>45617</v>
      </c>
      <c r="B37" s="4" t="s">
        <v>8</v>
      </c>
      <c r="C37" s="4"/>
      <c r="D37" s="7">
        <v>70.39</v>
      </c>
      <c r="E37" s="1">
        <f t="shared" si="0"/>
        <v>1.6462093862815892</v>
      </c>
      <c r="F37" s="1">
        <f t="shared" si="1"/>
        <v>1.3389000863806606</v>
      </c>
      <c r="G37" s="1">
        <f t="shared" si="2"/>
        <v>2.8642408300452926</v>
      </c>
      <c r="H37" s="1">
        <f t="shared" si="3"/>
        <v>-7.938791524980374</v>
      </c>
      <c r="J37" s="9">
        <v>80</v>
      </c>
      <c r="K37">
        <f>COUNTIFS(Table1[WTI Close], "&gt;="&amp;J37, Table1[WTI Close], "&lt;"&amp;J38)</f>
        <v>4</v>
      </c>
    </row>
    <row r="38" spans="1:11">
      <c r="A38" s="8">
        <v>45618</v>
      </c>
      <c r="B38" s="4" t="s">
        <v>8</v>
      </c>
      <c r="C38" s="4"/>
      <c r="D38" s="7">
        <v>71.680000000000007</v>
      </c>
      <c r="E38" s="1">
        <f t="shared" si="0"/>
        <v>1.8326466827674475</v>
      </c>
      <c r="F38" s="1">
        <f t="shared" si="1"/>
        <v>2.7670250896057444</v>
      </c>
      <c r="G38" s="1">
        <f t="shared" si="2"/>
        <v>4.2466550319953482</v>
      </c>
      <c r="H38" s="1">
        <f t="shared" si="3"/>
        <v>-5.8205229273419947</v>
      </c>
      <c r="J38" s="9">
        <v>85</v>
      </c>
      <c r="K38">
        <f>COUNTIFS(Table1[WTI Close], "&gt;="&amp;J38, Table1[WTI Close], "&lt;"&amp;J39)</f>
        <v>3</v>
      </c>
    </row>
    <row r="39" spans="1:11">
      <c r="A39" s="8">
        <v>45621</v>
      </c>
      <c r="B39" s="4" t="s">
        <v>8</v>
      </c>
      <c r="C39" s="4"/>
      <c r="D39" s="7">
        <v>69.41</v>
      </c>
      <c r="E39" s="1">
        <f t="shared" si="0"/>
        <v>-3.1668526785714426</v>
      </c>
      <c r="F39" s="1">
        <f t="shared" si="1"/>
        <v>0.23104693140793731</v>
      </c>
      <c r="G39" s="1">
        <f t="shared" si="2"/>
        <v>0.60878388172199127</v>
      </c>
      <c r="H39" s="1">
        <f t="shared" si="3"/>
        <v>-2.541420949171584</v>
      </c>
      <c r="J39" s="9">
        <v>90</v>
      </c>
      <c r="K39">
        <f>COUNTIFS(Table1[WTI Close], "&gt;="&amp;J39, Table1[WTI Close], "&lt;"&amp;J40)</f>
        <v>10</v>
      </c>
    </row>
    <row r="40" spans="1:11">
      <c r="A40" s="8">
        <v>45622</v>
      </c>
      <c r="B40" s="4" t="s">
        <v>8</v>
      </c>
      <c r="C40" s="4"/>
      <c r="D40" s="7">
        <v>69.05</v>
      </c>
      <c r="E40" s="1">
        <f t="shared" si="0"/>
        <v>-0.51865725399798213</v>
      </c>
      <c r="F40" s="1">
        <f t="shared" si="1"/>
        <v>-1.9036794999289719</v>
      </c>
      <c r="G40" s="1">
        <f t="shared" si="2"/>
        <v>2.5545819099955427</v>
      </c>
      <c r="H40" s="1">
        <f t="shared" si="3"/>
        <v>-2.7053684655488257</v>
      </c>
      <c r="J40" s="9">
        <v>95</v>
      </c>
      <c r="K40">
        <f>COUNTIFS(Table1[WTI Close], "&gt;="&amp;J40, Table1[WTI Close], "&lt;"&amp;J41)</f>
        <v>11</v>
      </c>
    </row>
    <row r="41" spans="1:11">
      <c r="A41" s="8">
        <v>45623</v>
      </c>
      <c r="B41" s="4" t="s">
        <v>8</v>
      </c>
      <c r="C41" s="4"/>
      <c r="D41" s="7">
        <v>69.03</v>
      </c>
      <c r="E41" s="1">
        <f t="shared" si="0"/>
        <v>-2.8964518464874762E-2</v>
      </c>
      <c r="F41" s="1">
        <f t="shared" si="1"/>
        <v>-3.6969866071428643</v>
      </c>
      <c r="G41" s="1">
        <f t="shared" si="2"/>
        <v>-0.61906133026201071</v>
      </c>
      <c r="H41" s="1">
        <f t="shared" si="3"/>
        <v>-3.1293853494246475</v>
      </c>
      <c r="J41" s="9">
        <v>100</v>
      </c>
      <c r="K41">
        <f>COUNTIFS(Table1[WTI Close], "&gt;="&amp;J41, Table1[WTI Close], "&lt;"&amp;J42)</f>
        <v>6</v>
      </c>
    </row>
    <row r="42" spans="1:11">
      <c r="A42" s="8">
        <v>45625</v>
      </c>
      <c r="B42" s="4" t="s">
        <v>8</v>
      </c>
      <c r="C42" s="4"/>
      <c r="D42" s="7">
        <v>68.260000000000005</v>
      </c>
      <c r="E42" s="1">
        <f t="shared" si="0"/>
        <v>-1.1154570476604317</v>
      </c>
      <c r="F42" s="1">
        <f t="shared" si="1"/>
        <v>-1.6568217836046557</v>
      </c>
      <c r="G42" s="1">
        <f t="shared" si="2"/>
        <v>-2.1362007168458708</v>
      </c>
      <c r="H42" s="1">
        <f t="shared" si="3"/>
        <v>-2.1782745772427572</v>
      </c>
      <c r="J42" s="9">
        <v>105</v>
      </c>
      <c r="K42">
        <f>COUNTIFS(Table1[WTI Close], "&gt;="&amp;J42, Table1[WTI Close], "&lt;"&amp;J43)</f>
        <v>0</v>
      </c>
    </row>
    <row r="43" spans="1:11">
      <c r="A43" s="8">
        <v>45628</v>
      </c>
      <c r="B43" s="4" t="s">
        <v>8</v>
      </c>
      <c r="C43" s="4"/>
      <c r="D43" s="7">
        <v>68.349999999999994</v>
      </c>
      <c r="E43" s="1">
        <f t="shared" si="0"/>
        <v>0.13184881336066392</v>
      </c>
      <c r="F43" s="1">
        <f t="shared" si="1"/>
        <v>-1.0137581462708223</v>
      </c>
      <c r="G43" s="1">
        <f t="shared" si="2"/>
        <v>-1.2996389891696833</v>
      </c>
      <c r="H43" s="1">
        <f t="shared" si="3"/>
        <v>-3.948847667228784</v>
      </c>
      <c r="J43" s="9">
        <v>110</v>
      </c>
      <c r="K43">
        <f>COUNTIFS(Table1[WTI Close], "&gt;="&amp;J43, Table1[WTI Close], "&lt;"&amp;J44)</f>
        <v>4</v>
      </c>
    </row>
    <row r="44" spans="1:11">
      <c r="A44" s="8">
        <v>45629</v>
      </c>
      <c r="B44" s="4" t="s">
        <v>8</v>
      </c>
      <c r="C44" s="4"/>
      <c r="D44" s="7">
        <v>70.150000000000006</v>
      </c>
      <c r="E44" s="1">
        <f t="shared" si="0"/>
        <v>2.6335040234089413</v>
      </c>
      <c r="F44" s="1">
        <f t="shared" si="1"/>
        <v>1.6224829784151882</v>
      </c>
      <c r="G44" s="1">
        <f t="shared" si="2"/>
        <v>-0.34095752237533011</v>
      </c>
      <c r="H44" s="1">
        <f t="shared" si="3"/>
        <v>-3.6930258099945052</v>
      </c>
      <c r="J44" s="9">
        <v>115</v>
      </c>
      <c r="K44">
        <f>COUNTIFS(Table1[WTI Close], "&gt;="&amp;J44, Table1[WTI Close], "&lt;"&amp;J45)</f>
        <v>0</v>
      </c>
    </row>
    <row r="45" spans="1:11">
      <c r="A45" s="8">
        <v>45630</v>
      </c>
      <c r="B45" s="4" t="s">
        <v>8</v>
      </c>
      <c r="C45" s="4"/>
      <c r="D45" s="7">
        <v>68.81</v>
      </c>
      <c r="E45" s="1">
        <f t="shared" si="0"/>
        <v>-1.9101924447612308</v>
      </c>
      <c r="F45" s="1">
        <f t="shared" si="1"/>
        <v>0.80574274831526094</v>
      </c>
      <c r="G45" s="1">
        <f t="shared" si="2"/>
        <v>-4.0039062500000062</v>
      </c>
      <c r="H45" s="1">
        <f t="shared" si="3"/>
        <v>-3.5869412918593273</v>
      </c>
      <c r="J45" t="s">
        <v>49</v>
      </c>
      <c r="K45">
        <f>SUM(K32:K44)</f>
        <v>389</v>
      </c>
    </row>
    <row r="46" spans="1:11">
      <c r="A46" s="8">
        <v>45631</v>
      </c>
      <c r="B46" s="4" t="s">
        <v>8</v>
      </c>
      <c r="C46" s="4"/>
      <c r="D46" s="7">
        <v>68.58</v>
      </c>
      <c r="E46" s="1">
        <f t="shared" si="0"/>
        <v>-0.33425374218864112</v>
      </c>
      <c r="F46" s="1">
        <f t="shared" si="1"/>
        <v>0.33650329188003508</v>
      </c>
      <c r="G46" s="1">
        <f t="shared" si="2"/>
        <v>-1.1957931133842363</v>
      </c>
      <c r="H46" s="1">
        <f t="shared" si="3"/>
        <v>-2.8336639274582036</v>
      </c>
    </row>
    <row r="47" spans="1:11">
      <c r="A47" s="8">
        <v>45632</v>
      </c>
      <c r="B47" s="4" t="s">
        <v>8</v>
      </c>
      <c r="C47" s="4"/>
      <c r="D47" s="7">
        <v>68.58</v>
      </c>
      <c r="E47" s="1">
        <f t="shared" si="0"/>
        <v>0</v>
      </c>
      <c r="F47" s="1">
        <f t="shared" si="1"/>
        <v>-2.2380612972202529</v>
      </c>
      <c r="G47" s="1">
        <f t="shared" si="2"/>
        <v>-0.68066618392469069</v>
      </c>
      <c r="H47" s="1">
        <f t="shared" si="3"/>
        <v>-4.7764509858372648</v>
      </c>
    </row>
    <row r="48" spans="1:11">
      <c r="A48" s="8">
        <v>45635</v>
      </c>
      <c r="B48" s="4" t="s">
        <v>8</v>
      </c>
      <c r="C48" s="4"/>
      <c r="D48" s="7">
        <v>68.650000000000006</v>
      </c>
      <c r="E48" s="1">
        <f t="shared" si="0"/>
        <v>0.10207057451153018</v>
      </c>
      <c r="F48" s="1">
        <f t="shared" si="1"/>
        <v>-0.23252434239208922</v>
      </c>
      <c r="G48" s="1">
        <f t="shared" si="2"/>
        <v>-0.55048529624800147</v>
      </c>
      <c r="H48" s="1">
        <f t="shared" si="3"/>
        <v>1.4781966001478195</v>
      </c>
      <c r="J48" t="s">
        <v>50</v>
      </c>
    </row>
    <row r="49" spans="1:11">
      <c r="A49" s="8">
        <v>45636</v>
      </c>
      <c r="B49" s="4" t="s">
        <v>8</v>
      </c>
      <c r="C49" s="4"/>
      <c r="D49" s="7">
        <v>68.849999999999994</v>
      </c>
      <c r="E49" s="1">
        <f t="shared" si="0"/>
        <v>0.29133284777857044</v>
      </c>
      <c r="F49" s="1">
        <f t="shared" si="1"/>
        <v>0.393700787401569</v>
      </c>
      <c r="G49" s="1">
        <f t="shared" si="2"/>
        <v>0.86434222091999591</v>
      </c>
      <c r="H49" s="1">
        <f t="shared" si="3"/>
        <v>2.0302311796087587</v>
      </c>
      <c r="J49" t="s">
        <v>51</v>
      </c>
      <c r="K49" s="1" cm="1">
        <f t="array" ref="K49">AVERAGE(IF(Table1[Event Category] = "Military Escalation", Table1[WTI Close]))</f>
        <v>85.360816326530625</v>
      </c>
    </row>
    <row r="50" spans="1:11">
      <c r="A50" s="8">
        <v>45637</v>
      </c>
      <c r="B50" s="4" t="s">
        <v>8</v>
      </c>
      <c r="C50" s="4"/>
      <c r="D50" s="7">
        <v>70.569999999999993</v>
      </c>
      <c r="E50" s="1">
        <f t="shared" si="0"/>
        <v>2.4981844589687712</v>
      </c>
      <c r="F50" s="1">
        <f t="shared" si="1"/>
        <v>2.9017206182560438</v>
      </c>
      <c r="G50" s="1">
        <f t="shared" si="2"/>
        <v>3.2479882955376724</v>
      </c>
      <c r="H50" s="1">
        <f t="shared" si="3"/>
        <v>2.4089391960528177</v>
      </c>
      <c r="J50" t="s">
        <v>43</v>
      </c>
      <c r="K50" cm="1">
        <f t="array" ref="K50">MEDIAN(IF(Table1[Event Category] = "Military Escalation", Table1[WTI Close]))</f>
        <v>91.51</v>
      </c>
    </row>
    <row r="51" spans="1:11">
      <c r="A51" s="8">
        <v>45638</v>
      </c>
      <c r="B51" s="4" t="s">
        <v>8</v>
      </c>
      <c r="C51" s="4"/>
      <c r="D51" s="7">
        <v>70.25</v>
      </c>
      <c r="E51" s="1">
        <f t="shared" si="0"/>
        <v>-0.45345047470595606</v>
      </c>
      <c r="F51" s="1">
        <f t="shared" si="1"/>
        <v>2.3306627822286878</v>
      </c>
      <c r="G51" s="1">
        <f t="shared" si="2"/>
        <v>0.14255167498217292</v>
      </c>
      <c r="H51" s="1">
        <f t="shared" si="3"/>
        <v>0.96292037941937592</v>
      </c>
      <c r="J51" t="s">
        <v>44</v>
      </c>
      <c r="K51" cm="1">
        <f t="array" ref="K51">MIN(IF(Table1[Event Category] = "Military Escalation", Table1[WTI Close]))</f>
        <v>56.01</v>
      </c>
    </row>
    <row r="52" spans="1:11">
      <c r="A52" s="8">
        <v>45639</v>
      </c>
      <c r="B52" s="4" t="s">
        <v>8</v>
      </c>
      <c r="C52" s="4"/>
      <c r="D52" s="7">
        <v>71.540000000000006</v>
      </c>
      <c r="E52" s="1">
        <f t="shared" si="0"/>
        <v>1.8362989323843504</v>
      </c>
      <c r="F52" s="1">
        <f t="shared" si="1"/>
        <v>3.9070442992011798</v>
      </c>
      <c r="G52" s="1">
        <f t="shared" si="2"/>
        <v>3.9674465920651123</v>
      </c>
      <c r="H52" s="1">
        <f t="shared" si="3"/>
        <v>2.4781549921214783</v>
      </c>
      <c r="J52" t="s">
        <v>45</v>
      </c>
      <c r="K52" cm="1">
        <f t="array" ref="K52">MAX(IF(Table1[Event Category] = "Military Escalation", Table1[WTI Close]))</f>
        <v>114.58</v>
      </c>
    </row>
    <row r="53" spans="1:11">
      <c r="A53" s="8">
        <v>45642</v>
      </c>
      <c r="B53" s="4" t="s">
        <v>8</v>
      </c>
      <c r="C53" s="4"/>
      <c r="D53" s="7">
        <v>71.03</v>
      </c>
      <c r="E53" s="1">
        <f t="shared" si="0"/>
        <v>-0.71288789488398807</v>
      </c>
      <c r="F53" s="1">
        <f t="shared" si="1"/>
        <v>0.65183505738983705</v>
      </c>
      <c r="G53" s="1">
        <f t="shared" si="2"/>
        <v>3.5724701079031829</v>
      </c>
      <c r="H53" s="1">
        <f t="shared" si="3"/>
        <v>-1.113740776834188</v>
      </c>
      <c r="J53" t="s">
        <v>46</v>
      </c>
      <c r="K53" s="1" cm="1">
        <f t="array" ref="K53">STDEV(IF(Table1[Event Category] = "Military Escalation", Table1[WTI Close]))</f>
        <v>17.384468503611366</v>
      </c>
    </row>
    <row r="54" spans="1:11">
      <c r="A54" s="8">
        <v>45643</v>
      </c>
      <c r="B54" s="4" t="s">
        <v>8</v>
      </c>
      <c r="C54" s="4"/>
      <c r="D54" s="7">
        <v>70.31</v>
      </c>
      <c r="E54" s="1">
        <f t="shared" si="0"/>
        <v>-1.013656201604954</v>
      </c>
      <c r="F54" s="1">
        <f t="shared" si="1"/>
        <v>8.5409252669042382E-2</v>
      </c>
      <c r="G54" s="1">
        <f t="shared" si="2"/>
        <v>2.522601341498985</v>
      </c>
      <c r="H54" s="1">
        <f t="shared" si="3"/>
        <v>-2.6985884306670394</v>
      </c>
    </row>
    <row r="55" spans="1:11">
      <c r="A55" s="8">
        <v>45644</v>
      </c>
      <c r="B55" s="4" t="s">
        <v>8</v>
      </c>
      <c r="C55" s="4"/>
      <c r="D55" s="7">
        <v>70.8</v>
      </c>
      <c r="E55" s="1">
        <f t="shared" si="0"/>
        <v>0.6969136680415231</v>
      </c>
      <c r="F55" s="1">
        <f t="shared" si="1"/>
        <v>-1.0343863572826517</v>
      </c>
      <c r="G55" s="1">
        <f t="shared" si="2"/>
        <v>3.1318281136197981</v>
      </c>
      <c r="H55" s="1">
        <f t="shared" si="3"/>
        <v>-1.6393442622950913</v>
      </c>
      <c r="J55" t="s">
        <v>47</v>
      </c>
      <c r="K55" t="s">
        <v>48</v>
      </c>
    </row>
    <row r="56" spans="1:11">
      <c r="A56" s="8">
        <v>45645</v>
      </c>
      <c r="B56" s="4" t="s">
        <v>8</v>
      </c>
      <c r="C56" s="4"/>
      <c r="D56" s="7">
        <v>70.099999999999994</v>
      </c>
      <c r="E56" s="1">
        <f t="shared" si="0"/>
        <v>-0.98870056497175551</v>
      </c>
      <c r="F56" s="1">
        <f t="shared" si="1"/>
        <v>-1.3093059270730774</v>
      </c>
      <c r="G56" s="1">
        <f t="shared" si="2"/>
        <v>1.8155410312273059</v>
      </c>
      <c r="H56" s="1">
        <f t="shared" si="3"/>
        <v>-3.5630760764892058</v>
      </c>
      <c r="J56" s="9">
        <v>55</v>
      </c>
      <c r="K56">
        <f>COUNTIFS(Table1[WTI Close], "&gt;="&amp;J56, Table1[WTI Close], "&lt;"&amp;J57, Table1[Event Category], "Military Escalation")</f>
        <v>7</v>
      </c>
    </row>
    <row r="57" spans="1:11">
      <c r="A57" s="8">
        <v>45646</v>
      </c>
      <c r="B57" s="4" t="s">
        <v>8</v>
      </c>
      <c r="C57" s="4"/>
      <c r="D57" s="7">
        <v>69.709999999999994</v>
      </c>
      <c r="E57" s="1">
        <f t="shared" si="0"/>
        <v>-0.55634807417974408</v>
      </c>
      <c r="F57" s="1">
        <f t="shared" si="1"/>
        <v>-0.85336367515290634</v>
      </c>
      <c r="G57" s="1">
        <f t="shared" si="2"/>
        <v>-1.2186481507722822</v>
      </c>
      <c r="H57" s="1">
        <f t="shared" si="3"/>
        <v>-1.3863347008063431</v>
      </c>
      <c r="J57" s="9">
        <v>60</v>
      </c>
      <c r="K57">
        <f>COUNTIFS(Table1[WTI Close], "&gt;="&amp;J57, Table1[WTI Close], "&lt;"&amp;J58, Table1[Event Category], "Military Escalation")</f>
        <v>2</v>
      </c>
    </row>
    <row r="58" spans="1:11">
      <c r="A58" s="8">
        <v>45649</v>
      </c>
      <c r="B58" s="4" t="s">
        <v>8</v>
      </c>
      <c r="C58" s="4"/>
      <c r="D58" s="7">
        <v>69.5</v>
      </c>
      <c r="E58" s="1">
        <f t="shared" si="0"/>
        <v>-0.30124802754266783</v>
      </c>
      <c r="F58" s="1">
        <f t="shared" si="1"/>
        <v>-1.8361581920903913</v>
      </c>
      <c r="G58" s="1">
        <f t="shared" si="2"/>
        <v>-1.0676156583629894</v>
      </c>
      <c r="H58" s="1">
        <f t="shared" si="3"/>
        <v>1.5636416776267617</v>
      </c>
      <c r="J58" s="9">
        <v>65</v>
      </c>
      <c r="K58">
        <f>COUNTIFS(Table1[WTI Close], "&gt;="&amp;J58, Table1[WTI Close], "&lt;"&amp;J59, Table1[Event Category], "Military Escalation")</f>
        <v>2</v>
      </c>
    </row>
    <row r="59" spans="1:11">
      <c r="A59" s="8">
        <v>45650</v>
      </c>
      <c r="B59" s="4" t="s">
        <v>8</v>
      </c>
      <c r="C59" s="4"/>
      <c r="D59" s="7">
        <v>70.87</v>
      </c>
      <c r="E59" s="1">
        <f t="shared" si="0"/>
        <v>1.9712230215827404</v>
      </c>
      <c r="F59" s="1">
        <f t="shared" si="1"/>
        <v>1.0984308131241232</v>
      </c>
      <c r="G59" s="1">
        <f t="shared" si="2"/>
        <v>-0.93653899916131056</v>
      </c>
      <c r="H59" s="1">
        <f t="shared" si="3"/>
        <v>3.0686445607911566</v>
      </c>
      <c r="J59" s="9">
        <v>70</v>
      </c>
      <c r="K59">
        <f>COUNTIFS(Table1[WTI Close], "&gt;="&amp;J59, Table1[WTI Close], "&lt;"&amp;J60, Table1[Event Category], "Military Escalation")</f>
        <v>5</v>
      </c>
    </row>
    <row r="60" spans="1:11">
      <c r="A60" s="8">
        <v>45652</v>
      </c>
      <c r="B60" s="4" t="s">
        <v>8</v>
      </c>
      <c r="C60" s="4"/>
      <c r="D60" s="7">
        <v>70.38</v>
      </c>
      <c r="E60" s="1">
        <f t="shared" si="0"/>
        <v>-0.69140680118528164</v>
      </c>
      <c r="F60" s="1">
        <f t="shared" si="1"/>
        <v>0.96112465930282853</v>
      </c>
      <c r="G60" s="1">
        <f t="shared" si="2"/>
        <v>-0.91510629311559299</v>
      </c>
      <c r="H60" s="1">
        <f t="shared" si="3"/>
        <v>2.0147847514132495</v>
      </c>
      <c r="J60" s="9">
        <v>75</v>
      </c>
      <c r="K60">
        <f>COUNTIFS(Table1[WTI Close], "&gt;="&amp;J60, Table1[WTI Close], "&lt;"&amp;J61, Table1[Event Category], "Military Escalation")</f>
        <v>3</v>
      </c>
    </row>
    <row r="61" spans="1:11">
      <c r="A61" s="8">
        <v>45653</v>
      </c>
      <c r="B61" s="4" t="s">
        <v>8</v>
      </c>
      <c r="C61" s="4"/>
      <c r="D61" s="7">
        <v>71.28</v>
      </c>
      <c r="E61" s="1">
        <f t="shared" si="0"/>
        <v>1.2787723785166323</v>
      </c>
      <c r="F61" s="1">
        <f t="shared" si="1"/>
        <v>2.5611510791366925</v>
      </c>
      <c r="G61" s="1">
        <f t="shared" si="2"/>
        <v>1.3796046081638442</v>
      </c>
      <c r="H61" s="1">
        <f t="shared" si="3"/>
        <v>5.8666270607455857</v>
      </c>
      <c r="J61" s="9">
        <v>80</v>
      </c>
      <c r="K61">
        <f>COUNTIFS(Table1[WTI Close], "&gt;="&amp;J61, Table1[WTI Close], "&lt;"&amp;J62, Table1[Event Category], "Military Escalation")</f>
        <v>2</v>
      </c>
    </row>
    <row r="62" spans="1:11">
      <c r="A62" s="8">
        <v>45656</v>
      </c>
      <c r="B62" s="4" t="s">
        <v>8</v>
      </c>
      <c r="C62" s="4"/>
      <c r="D62" s="7">
        <v>71.73</v>
      </c>
      <c r="E62" s="1">
        <f t="shared" si="0"/>
        <v>0.63131313131313527</v>
      </c>
      <c r="F62" s="1">
        <f t="shared" si="1"/>
        <v>1.2134894877945526</v>
      </c>
      <c r="G62" s="1">
        <f t="shared" si="2"/>
        <v>1.3135593220339079</v>
      </c>
      <c r="H62" s="1">
        <f t="shared" si="3"/>
        <v>3.2680679527785923</v>
      </c>
      <c r="J62" s="9">
        <v>85</v>
      </c>
      <c r="K62">
        <f>COUNTIFS(Table1[WTI Close], "&gt;="&amp;J62, Table1[WTI Close], "&lt;"&amp;J63, Table1[Event Category], "Military Escalation")</f>
        <v>2</v>
      </c>
    </row>
    <row r="63" spans="1:11">
      <c r="A63" s="8">
        <v>45657</v>
      </c>
      <c r="B63" s="4" t="s">
        <v>8</v>
      </c>
      <c r="C63" s="4"/>
      <c r="D63" s="7">
        <v>72.44</v>
      </c>
      <c r="E63" s="1">
        <f t="shared" si="0"/>
        <v>0.98982294716296348</v>
      </c>
      <c r="F63" s="1">
        <f t="shared" si="1"/>
        <v>2.9269678886047208</v>
      </c>
      <c r="G63" s="1">
        <f t="shared" si="2"/>
        <v>3.3380884450784647</v>
      </c>
      <c r="H63" s="1">
        <f t="shared" si="3"/>
        <v>3.8566308243727567</v>
      </c>
      <c r="J63" s="9">
        <v>90</v>
      </c>
      <c r="K63">
        <f>COUNTIFS(Table1[WTI Close], "&gt;="&amp;J63, Table1[WTI Close], "&lt;"&amp;J64, Table1[Event Category], "Military Escalation")</f>
        <v>7</v>
      </c>
    </row>
    <row r="64" spans="1:11">
      <c r="A64" s="8">
        <v>45659</v>
      </c>
      <c r="B64" s="4" t="s">
        <v>8</v>
      </c>
      <c r="C64" s="4"/>
      <c r="D64" s="7">
        <v>73.790000000000006</v>
      </c>
      <c r="E64" s="1">
        <f t="shared" si="0"/>
        <v>1.8636112644947662</v>
      </c>
      <c r="F64" s="1">
        <f t="shared" si="1"/>
        <v>3.5213243546576947</v>
      </c>
      <c r="G64" s="1">
        <f t="shared" si="2"/>
        <v>5.8528188208291674</v>
      </c>
      <c r="H64" s="1">
        <f t="shared" si="3"/>
        <v>6.5559566787003698</v>
      </c>
      <c r="J64" s="9">
        <v>95</v>
      </c>
      <c r="K64">
        <f>COUNTIFS(Table1[WTI Close], "&gt;="&amp;J64, Table1[WTI Close], "&lt;"&amp;J65, Table1[Event Category], "Military Escalation")</f>
        <v>10</v>
      </c>
    </row>
    <row r="65" spans="1:11">
      <c r="A65" s="8">
        <v>45660</v>
      </c>
      <c r="B65" s="4" t="s">
        <v>8</v>
      </c>
      <c r="C65" s="4"/>
      <c r="D65" s="7">
        <v>74.64</v>
      </c>
      <c r="E65" s="1">
        <f t="shared" si="0"/>
        <v>1.1519176040113759</v>
      </c>
      <c r="F65" s="1">
        <f t="shared" si="1"/>
        <v>4.0568799665411905</v>
      </c>
      <c r="G65" s="1">
        <f t="shared" si="2"/>
        <v>7.3956834532374103</v>
      </c>
      <c r="H65" s="1">
        <f t="shared" si="3"/>
        <v>6.0377894587299332</v>
      </c>
      <c r="J65" s="9">
        <v>100</v>
      </c>
      <c r="K65">
        <f>COUNTIFS(Table1[WTI Close], "&gt;="&amp;J65, Table1[WTI Close], "&lt;"&amp;J66, Table1[Event Category], "Military Escalation")</f>
        <v>5</v>
      </c>
    </row>
    <row r="66" spans="1:11">
      <c r="A66" s="8">
        <v>45663</v>
      </c>
      <c r="B66" s="4" t="s">
        <v>8</v>
      </c>
      <c r="C66" s="4"/>
      <c r="D66" s="7">
        <v>74.31</v>
      </c>
      <c r="E66" s="1">
        <f t="shared" si="0"/>
        <v>-0.4421221864951746</v>
      </c>
      <c r="F66" s="1">
        <f t="shared" si="1"/>
        <v>2.5814467145223698</v>
      </c>
      <c r="G66" s="1">
        <f t="shared" si="2"/>
        <v>4.8539579511782103</v>
      </c>
      <c r="H66" s="1">
        <f t="shared" si="3"/>
        <v>3.669084821428565</v>
      </c>
      <c r="J66" s="9">
        <v>105</v>
      </c>
      <c r="K66">
        <f>COUNTIFS(Table1[WTI Close], "&gt;="&amp;J66, Table1[WTI Close], "&lt;"&amp;J67, Table1[Event Category], "Military Escalation")</f>
        <v>0</v>
      </c>
    </row>
    <row r="67" spans="1:11">
      <c r="A67" s="8">
        <v>45664</v>
      </c>
      <c r="B67" s="4" t="s">
        <v>8</v>
      </c>
      <c r="C67" s="4"/>
      <c r="D67" s="7">
        <v>74.989999999999995</v>
      </c>
      <c r="E67" s="1">
        <f t="shared" si="0"/>
        <v>0.91508545283271769</v>
      </c>
      <c r="F67" s="1">
        <f t="shared" si="1"/>
        <v>1.6262366174278204</v>
      </c>
      <c r="G67" s="1">
        <f t="shared" si="2"/>
        <v>6.5501562944018179</v>
      </c>
      <c r="H67" s="1">
        <f t="shared" si="3"/>
        <v>8.0391874369687333</v>
      </c>
      <c r="J67" s="9">
        <v>110</v>
      </c>
      <c r="K67">
        <f>COUNTIFS(Table1[WTI Close], "&gt;="&amp;J67, Table1[WTI Close], "&lt;"&amp;J68, Table1[Event Category], "Military Escalation")</f>
        <v>4</v>
      </c>
    </row>
    <row r="68" spans="1:11">
      <c r="A68" s="8">
        <v>45665</v>
      </c>
      <c r="B68" s="4" t="s">
        <v>8</v>
      </c>
      <c r="C68" s="4"/>
      <c r="D68" s="7">
        <v>73.989999999999995</v>
      </c>
      <c r="E68" s="1">
        <f t="shared" ref="E68:E131" si="4">(D68-D67)/D67 * 100</f>
        <v>-1.3335111348179758</v>
      </c>
      <c r="F68" s="1">
        <f t="shared" si="1"/>
        <v>-0.87084673097535592</v>
      </c>
      <c r="G68" s="1">
        <f t="shared" si="2"/>
        <v>3.8019079685746262</v>
      </c>
      <c r="H68" s="1">
        <f t="shared" si="3"/>
        <v>7.154236060825486</v>
      </c>
      <c r="J68" s="9">
        <v>115</v>
      </c>
      <c r="K68">
        <f>COUNTIFS(Table1[WTI Close], "&gt;="&amp;J68, Table1[WTI Close], "&lt;"&amp;J69, Table1[Event Category], "Military Escalation")</f>
        <v>0</v>
      </c>
    </row>
    <row r="69" spans="1:11">
      <c r="A69" s="8">
        <v>45667</v>
      </c>
      <c r="B69" s="4" t="s">
        <v>8</v>
      </c>
      <c r="C69" s="4"/>
      <c r="D69" s="7">
        <v>77.27</v>
      </c>
      <c r="E69" s="1">
        <f t="shared" si="4"/>
        <v>4.4330314907419943</v>
      </c>
      <c r="F69" s="1">
        <f t="shared" si="1"/>
        <v>3.9833131476248065</v>
      </c>
      <c r="G69" s="1">
        <f t="shared" si="2"/>
        <v>7.7234072215251528</v>
      </c>
      <c r="H69" s="1">
        <f t="shared" si="3"/>
        <v>11.936839055483116</v>
      </c>
      <c r="J69" t="s">
        <v>49</v>
      </c>
      <c r="K69">
        <f>SUM(K56:K68)</f>
        <v>49</v>
      </c>
    </row>
    <row r="70" spans="1:11">
      <c r="A70" s="8">
        <v>45670</v>
      </c>
      <c r="B70" s="4" t="s">
        <v>8</v>
      </c>
      <c r="C70" s="4"/>
      <c r="D70" s="7">
        <v>79.569999999999993</v>
      </c>
      <c r="E70" s="1">
        <f t="shared" si="4"/>
        <v>2.9765756438462501</v>
      </c>
      <c r="F70" s="1">
        <f t="shared" ref="F70:F133" si="5">(D70-D67)/D67*100</f>
        <v>6.1074809974663271</v>
      </c>
      <c r="G70" s="1">
        <f t="shared" si="2"/>
        <v>9.842628382109325</v>
      </c>
      <c r="H70" s="1">
        <f t="shared" si="3"/>
        <v>16.569000878992071</v>
      </c>
    </row>
    <row r="71" spans="1:11">
      <c r="A71" s="8">
        <v>45671</v>
      </c>
      <c r="B71" s="4" t="s">
        <v>8</v>
      </c>
      <c r="C71" s="4"/>
      <c r="D71" s="7">
        <v>78.2</v>
      </c>
      <c r="E71" s="1">
        <f t="shared" si="4"/>
        <v>-1.721754430061569</v>
      </c>
      <c r="F71" s="1">
        <f t="shared" si="5"/>
        <v>5.6899581024462877</v>
      </c>
      <c r="G71" s="1">
        <f t="shared" si="2"/>
        <v>5.976419569047291</v>
      </c>
      <c r="H71" s="1">
        <f t="shared" si="3"/>
        <v>14.411119239209963</v>
      </c>
    </row>
    <row r="72" spans="1:11">
      <c r="A72" s="8">
        <v>45672</v>
      </c>
      <c r="B72" s="4" t="s">
        <v>8</v>
      </c>
      <c r="C72" s="4"/>
      <c r="D72" s="7">
        <v>80.73</v>
      </c>
      <c r="E72" s="1">
        <f t="shared" si="4"/>
        <v>3.2352941176470598</v>
      </c>
      <c r="F72" s="1">
        <f t="shared" si="5"/>
        <v>4.477805099003505</v>
      </c>
      <c r="G72" s="1">
        <f t="shared" si="2"/>
        <v>8.1591639871382675</v>
      </c>
      <c r="H72" s="1">
        <f t="shared" si="3"/>
        <v>15.08196721311475</v>
      </c>
      <c r="J72" t="s">
        <v>11</v>
      </c>
    </row>
    <row r="73" spans="1:11">
      <c r="A73" s="8">
        <v>45673</v>
      </c>
      <c r="B73" s="4" t="s">
        <v>8</v>
      </c>
      <c r="C73" s="4"/>
      <c r="D73" s="7">
        <v>79.349999999999994</v>
      </c>
      <c r="E73" s="1">
        <f t="shared" si="4"/>
        <v>-1.7094017094017213</v>
      </c>
      <c r="F73" s="1">
        <f t="shared" si="5"/>
        <v>-0.27648611285660285</v>
      </c>
      <c r="G73" s="1">
        <f t="shared" si="2"/>
        <v>6.7823980621719713</v>
      </c>
      <c r="H73" s="1">
        <f t="shared" si="3"/>
        <v>15.317541055079193</v>
      </c>
      <c r="J73" t="s">
        <v>51</v>
      </c>
      <c r="K73" s="1" cm="1">
        <f t="array" ref="K73">AVERAGE(IF(Table1[Event Category] = "De-escalation", Table1[WTI Close]))</f>
        <v>69.84545454545453</v>
      </c>
    </row>
    <row r="74" spans="1:11">
      <c r="A74" s="8">
        <v>45674</v>
      </c>
      <c r="B74" s="4" t="s">
        <v>8</v>
      </c>
      <c r="C74" s="4"/>
      <c r="D74" s="7">
        <v>78.56</v>
      </c>
      <c r="E74" s="1">
        <f t="shared" si="4"/>
        <v>-0.99558916194075875</v>
      </c>
      <c r="F74" s="1">
        <f t="shared" si="5"/>
        <v>0.46035805626598392</v>
      </c>
      <c r="G74" s="1">
        <f t="shared" ref="G74:G137" si="6">(D74-D67)/D67*100</f>
        <v>4.7606347513001834</v>
      </c>
      <c r="H74" s="1">
        <f t="shared" si="3"/>
        <v>14.552347623213771</v>
      </c>
      <c r="J74" t="s">
        <v>43</v>
      </c>
      <c r="K74" cm="1">
        <f t="array" ref="K74">MEDIAN(IF(Table1[Event Category] = "De-escalation", Table1[WTI Close]))</f>
        <v>67.13</v>
      </c>
    </row>
    <row r="75" spans="1:11">
      <c r="A75" s="8">
        <v>45678</v>
      </c>
      <c r="B75" s="4" t="s">
        <v>34</v>
      </c>
      <c r="C75" s="4" t="s">
        <v>21</v>
      </c>
      <c r="D75" s="7">
        <v>76.790000000000006</v>
      </c>
      <c r="E75" s="1">
        <f t="shared" si="4"/>
        <v>-2.2530549898166954</v>
      </c>
      <c r="F75" s="1">
        <f t="shared" si="5"/>
        <v>-4.8804657500309645</v>
      </c>
      <c r="G75" s="1">
        <f t="shared" si="6"/>
        <v>3.7842951750236677</v>
      </c>
      <c r="H75" s="1">
        <f t="shared" si="3"/>
        <v>11.971420239136785</v>
      </c>
      <c r="J75" t="s">
        <v>44</v>
      </c>
      <c r="K75" cm="1">
        <f t="array" ref="K75">MIN(IF(Table1[Event Category] = "De-escalation", Table1[WTI Close]))</f>
        <v>63.38</v>
      </c>
    </row>
    <row r="76" spans="1:11">
      <c r="A76" s="8">
        <v>45679</v>
      </c>
      <c r="B76" s="4" t="s">
        <v>34</v>
      </c>
      <c r="C76" s="4"/>
      <c r="D76" s="7">
        <v>76.12</v>
      </c>
      <c r="E76" s="1">
        <f t="shared" si="4"/>
        <v>-0.87250944133350905</v>
      </c>
      <c r="F76" s="1">
        <f t="shared" si="5"/>
        <v>-4.0705734089476877</v>
      </c>
      <c r="G76" s="1">
        <f t="shared" si="6"/>
        <v>-1.4882878219231157</v>
      </c>
      <c r="H76" s="1">
        <f t="shared" si="3"/>
        <v>10.881281864530223</v>
      </c>
      <c r="J76" t="s">
        <v>45</v>
      </c>
      <c r="K76" cm="1">
        <f t="array" ref="K76">MAX(IF(Table1[Event Category] = "De-escalation", Table1[WTI Close]))</f>
        <v>100.72</v>
      </c>
    </row>
    <row r="77" spans="1:11">
      <c r="A77" s="8">
        <v>45680</v>
      </c>
      <c r="B77" s="4" t="s">
        <v>34</v>
      </c>
      <c r="C77" s="4"/>
      <c r="D77" s="7">
        <v>75.03</v>
      </c>
      <c r="E77" s="1">
        <f t="shared" si="4"/>
        <v>-1.4319495533368409</v>
      </c>
      <c r="F77" s="1">
        <f t="shared" si="5"/>
        <v>-4.4933808553971497</v>
      </c>
      <c r="G77" s="1">
        <f t="shared" si="6"/>
        <v>-5.7056679653135509</v>
      </c>
      <c r="H77" s="1">
        <f t="shared" si="3"/>
        <v>8.9760348583878109</v>
      </c>
      <c r="J77" t="s">
        <v>46</v>
      </c>
      <c r="K77" s="1" cm="1">
        <f t="array" ref="K77">STDEV(IF(Table1[Event Category] = "De-escalation", Table1[WTI Close]))</f>
        <v>8.9441975434900165</v>
      </c>
    </row>
    <row r="78" spans="1:11">
      <c r="A78" s="8">
        <v>45681</v>
      </c>
      <c r="B78" s="4" t="s">
        <v>34</v>
      </c>
      <c r="C78" s="4"/>
      <c r="D78" s="7">
        <v>74.97</v>
      </c>
      <c r="E78" s="1">
        <f t="shared" si="4"/>
        <v>-7.9968012794885066E-2</v>
      </c>
      <c r="F78" s="1">
        <f t="shared" si="5"/>
        <v>-2.3701002734731178</v>
      </c>
      <c r="G78" s="1">
        <f t="shared" si="6"/>
        <v>-4.1304347826087007</v>
      </c>
      <c r="H78" s="1">
        <f t="shared" si="3"/>
        <v>6.2349440272070371</v>
      </c>
    </row>
    <row r="79" spans="1:11">
      <c r="A79" s="8">
        <v>45684</v>
      </c>
      <c r="B79" s="4" t="s">
        <v>34</v>
      </c>
      <c r="C79" s="4"/>
      <c r="D79" s="7">
        <v>73.510000000000005</v>
      </c>
      <c r="E79" s="1">
        <f t="shared" si="4"/>
        <v>-1.9474456449246285</v>
      </c>
      <c r="F79" s="1">
        <f t="shared" si="5"/>
        <v>-3.4287966368891212</v>
      </c>
      <c r="G79" s="1">
        <f t="shared" si="6"/>
        <v>-8.9433915520872027</v>
      </c>
      <c r="H79" s="1">
        <f t="shared" si="3"/>
        <v>4.6405693950178009</v>
      </c>
      <c r="J79" t="s">
        <v>47</v>
      </c>
      <c r="K79" t="s">
        <v>48</v>
      </c>
    </row>
    <row r="80" spans="1:11">
      <c r="A80" s="8">
        <v>45685</v>
      </c>
      <c r="B80" s="4" t="s">
        <v>34</v>
      </c>
      <c r="C80" s="4"/>
      <c r="D80" s="7">
        <v>74.150000000000006</v>
      </c>
      <c r="E80" s="1">
        <f t="shared" si="4"/>
        <v>0.87062984627941842</v>
      </c>
      <c r="F80" s="1">
        <f t="shared" si="5"/>
        <v>-1.1728641876582639</v>
      </c>
      <c r="G80" s="1">
        <f t="shared" si="6"/>
        <v>-6.5532451165721346</v>
      </c>
      <c r="H80" s="1">
        <f t="shared" si="3"/>
        <v>3.6483086385239019</v>
      </c>
      <c r="J80" s="9">
        <v>55</v>
      </c>
      <c r="K80">
        <f>COUNTIFS(Table1[WTI Close], "&gt;="&amp;J80, Table1[WTI Close], "&lt;"&amp;J81, Table1[Event Category], "De-escalation")</f>
        <v>0</v>
      </c>
    </row>
    <row r="81" spans="1:11">
      <c r="A81" s="8">
        <v>45686</v>
      </c>
      <c r="B81" s="4" t="s">
        <v>34</v>
      </c>
      <c r="C81" s="4"/>
      <c r="D81" s="7">
        <v>72.94</v>
      </c>
      <c r="E81" s="1">
        <f t="shared" si="4"/>
        <v>-1.6318273769386487</v>
      </c>
      <c r="F81" s="1">
        <f t="shared" si="5"/>
        <v>-2.7077497665732975</v>
      </c>
      <c r="G81" s="1">
        <f t="shared" si="6"/>
        <v>-7.1537678207739361</v>
      </c>
      <c r="H81" s="1">
        <f t="shared" si="3"/>
        <v>2.6890046459242525</v>
      </c>
      <c r="J81" s="9">
        <v>60</v>
      </c>
      <c r="K81">
        <f>COUNTIFS(Table1[WTI Close], "&gt;="&amp;J81, Table1[WTI Close], "&lt;"&amp;J82, Table1[Event Category], "De-escalation")</f>
        <v>15</v>
      </c>
    </row>
    <row r="82" spans="1:11">
      <c r="A82" s="8">
        <v>45687</v>
      </c>
      <c r="B82" s="4" t="s">
        <v>34</v>
      </c>
      <c r="C82" s="4"/>
      <c r="D82" s="7">
        <v>73.099999999999994</v>
      </c>
      <c r="E82" s="1">
        <f t="shared" si="4"/>
        <v>0.2193583767480074</v>
      </c>
      <c r="F82" s="1">
        <f t="shared" si="5"/>
        <v>-0.55774724527276665</v>
      </c>
      <c r="G82" s="1">
        <f t="shared" si="6"/>
        <v>-4.8053131918218668</v>
      </c>
      <c r="H82" s="1">
        <f t="shared" si="3"/>
        <v>3.9681410894609472</v>
      </c>
      <c r="J82" s="9">
        <v>65</v>
      </c>
      <c r="K82">
        <f>COUNTIFS(Table1[WTI Close], "&gt;="&amp;J82, Table1[WTI Close], "&lt;"&amp;J83, Table1[Event Category], "De-escalation")</f>
        <v>30</v>
      </c>
    </row>
    <row r="83" spans="1:11">
      <c r="A83" s="8">
        <v>45688</v>
      </c>
      <c r="B83" s="4" t="s">
        <v>34</v>
      </c>
      <c r="C83" s="4"/>
      <c r="D83" s="7">
        <v>72.84</v>
      </c>
      <c r="E83" s="1">
        <f t="shared" si="4"/>
        <v>-0.35567715458275095</v>
      </c>
      <c r="F83" s="1">
        <f t="shared" si="5"/>
        <v>-1.7666891436277845</v>
      </c>
      <c r="G83" s="1">
        <f t="shared" si="6"/>
        <v>-4.3089858118759867</v>
      </c>
      <c r="H83" s="1">
        <f t="shared" si="3"/>
        <v>2.881355932203399</v>
      </c>
      <c r="J83" s="9">
        <v>70</v>
      </c>
      <c r="K83">
        <f>COUNTIFS(Table1[WTI Close], "&gt;="&amp;J83, Table1[WTI Close], "&lt;"&amp;J84, Table1[Event Category], "De-escalation")</f>
        <v>3</v>
      </c>
    </row>
    <row r="84" spans="1:11">
      <c r="A84" s="8">
        <v>45691</v>
      </c>
      <c r="B84" s="4" t="s">
        <v>34</v>
      </c>
      <c r="C84" s="4"/>
      <c r="D84" s="7">
        <v>73.52</v>
      </c>
      <c r="E84" s="1">
        <f t="shared" si="4"/>
        <v>0.9335529928610552</v>
      </c>
      <c r="F84" s="1">
        <f t="shared" si="5"/>
        <v>0.7951741157115414</v>
      </c>
      <c r="G84" s="1">
        <f t="shared" si="6"/>
        <v>-2.0125283220045382</v>
      </c>
      <c r="H84" s="1">
        <f t="shared" si="3"/>
        <v>4.8787446504992893</v>
      </c>
      <c r="J84" s="9">
        <v>75</v>
      </c>
      <c r="K84">
        <f>COUNTIFS(Table1[WTI Close], "&gt;="&amp;J84, Table1[WTI Close], "&lt;"&amp;J85, Table1[Event Category], "De-escalation")</f>
        <v>0</v>
      </c>
    </row>
    <row r="85" spans="1:11">
      <c r="A85" s="8">
        <v>45692</v>
      </c>
      <c r="B85" s="4" t="s">
        <v>34</v>
      </c>
      <c r="C85" s="4"/>
      <c r="D85" s="7">
        <v>73.040000000000006</v>
      </c>
      <c r="E85" s="1">
        <f t="shared" si="4"/>
        <v>-0.65288356909683054</v>
      </c>
      <c r="F85" s="1">
        <f t="shared" si="5"/>
        <v>-8.2079343365236757E-2</v>
      </c>
      <c r="G85" s="1">
        <f t="shared" si="6"/>
        <v>-2.5743630785647493</v>
      </c>
      <c r="H85" s="1">
        <f t="shared" si="3"/>
        <v>4.7769330081767505</v>
      </c>
      <c r="J85" s="9">
        <v>80</v>
      </c>
      <c r="K85">
        <f>COUNTIFS(Table1[WTI Close], "&gt;="&amp;J85, Table1[WTI Close], "&lt;"&amp;J86, Table1[Event Category], "De-escalation")</f>
        <v>1</v>
      </c>
    </row>
    <row r="86" spans="1:11">
      <c r="A86" s="8">
        <v>45693</v>
      </c>
      <c r="B86" s="4" t="s">
        <v>34</v>
      </c>
      <c r="C86" s="4"/>
      <c r="D86" s="7">
        <v>71.39</v>
      </c>
      <c r="E86" s="1">
        <f t="shared" si="4"/>
        <v>-2.2590361445783209</v>
      </c>
      <c r="F86" s="1">
        <f t="shared" si="5"/>
        <v>-1.9906644700713931</v>
      </c>
      <c r="G86" s="1">
        <f t="shared" si="6"/>
        <v>-2.8839613658005776</v>
      </c>
      <c r="H86" s="1">
        <f t="shared" si="3"/>
        <v>2.7194244604316555</v>
      </c>
      <c r="J86" s="9">
        <v>85</v>
      </c>
      <c r="K86">
        <f>COUNTIFS(Table1[WTI Close], "&gt;="&amp;J86, Table1[WTI Close], "&lt;"&amp;J87, Table1[Event Category], "De-escalation")</f>
        <v>1</v>
      </c>
    </row>
    <row r="87" spans="1:11">
      <c r="A87" s="8">
        <v>45694</v>
      </c>
      <c r="B87" s="4" t="s">
        <v>34</v>
      </c>
      <c r="C87" s="4"/>
      <c r="D87" s="7">
        <v>70.97</v>
      </c>
      <c r="E87" s="1">
        <f t="shared" si="4"/>
        <v>-0.58831769155344127</v>
      </c>
      <c r="F87" s="1">
        <f t="shared" si="5"/>
        <v>-3.4684439608269821</v>
      </c>
      <c r="G87" s="1">
        <f t="shared" si="6"/>
        <v>-4.2886041807147768</v>
      </c>
      <c r="H87" s="1">
        <f t="shared" si="3"/>
        <v>0.14110342881331214</v>
      </c>
      <c r="J87" s="9">
        <v>90</v>
      </c>
      <c r="K87">
        <f>COUNTIFS(Table1[WTI Close], "&gt;="&amp;J87, Table1[WTI Close], "&lt;"&amp;J88, Table1[Event Category], "De-escalation")</f>
        <v>3</v>
      </c>
    </row>
    <row r="88" spans="1:11">
      <c r="A88" s="8">
        <v>45695</v>
      </c>
      <c r="B88" s="4" t="s">
        <v>34</v>
      </c>
      <c r="C88" s="4"/>
      <c r="D88" s="7">
        <v>71.319999999999993</v>
      </c>
      <c r="E88" s="1">
        <f t="shared" si="4"/>
        <v>0.49316612653232961</v>
      </c>
      <c r="F88" s="1">
        <f t="shared" si="5"/>
        <v>-2.3548740416210476</v>
      </c>
      <c r="G88" s="1">
        <f t="shared" si="6"/>
        <v>-2.2210035645736284</v>
      </c>
      <c r="H88" s="1">
        <f t="shared" si="3"/>
        <v>1.3356067064506931</v>
      </c>
      <c r="J88" s="9">
        <v>95</v>
      </c>
      <c r="K88">
        <f>COUNTIFS(Table1[WTI Close], "&gt;="&amp;J88, Table1[WTI Close], "&lt;"&amp;J89, Table1[Event Category], "De-escalation")</f>
        <v>1</v>
      </c>
    </row>
    <row r="89" spans="1:11">
      <c r="A89" s="8">
        <v>45698</v>
      </c>
      <c r="B89" s="4" t="s">
        <v>34</v>
      </c>
      <c r="C89" s="4"/>
      <c r="D89" s="7">
        <v>72.73</v>
      </c>
      <c r="E89" s="1">
        <f t="shared" si="4"/>
        <v>1.9770050476724774</v>
      </c>
      <c r="F89" s="1">
        <f t="shared" si="5"/>
        <v>1.8770135873371667</v>
      </c>
      <c r="G89" s="1">
        <f t="shared" si="6"/>
        <v>-0.50615595075238073</v>
      </c>
      <c r="H89" s="1">
        <f t="shared" si="3"/>
        <v>2.0342312008978714</v>
      </c>
      <c r="J89" s="9">
        <v>100</v>
      </c>
      <c r="K89">
        <f>COUNTIFS(Table1[WTI Close], "&gt;="&amp;J89, Table1[WTI Close], "&lt;"&amp;J90, Table1[Event Category], "De-escalation")</f>
        <v>1</v>
      </c>
    </row>
    <row r="90" spans="1:11">
      <c r="A90" s="8">
        <v>45699</v>
      </c>
      <c r="B90" s="4" t="s">
        <v>34</v>
      </c>
      <c r="C90" s="4"/>
      <c r="D90" s="7">
        <v>73.67</v>
      </c>
      <c r="E90" s="1">
        <f t="shared" si="4"/>
        <v>1.2924515330675068</v>
      </c>
      <c r="F90" s="1">
        <f t="shared" si="5"/>
        <v>3.8044244046780369</v>
      </c>
      <c r="G90" s="1">
        <f t="shared" si="6"/>
        <v>1.1394838001098273</v>
      </c>
      <c r="H90" s="1">
        <f t="shared" si="3"/>
        <v>2.704586644360794</v>
      </c>
      <c r="J90" s="9">
        <v>105</v>
      </c>
      <c r="K90">
        <f>COUNTIFS(Table1[WTI Close], "&gt;="&amp;J90, Table1[WTI Close], "&lt;"&amp;J91, Table1[Event Category], "De-escalation")</f>
        <v>0</v>
      </c>
    </row>
    <row r="91" spans="1:11">
      <c r="A91" s="8">
        <v>45700</v>
      </c>
      <c r="B91" s="4" t="s">
        <v>34</v>
      </c>
      <c r="C91" s="4"/>
      <c r="D91" s="7">
        <v>71.72</v>
      </c>
      <c r="E91" s="1">
        <f t="shared" si="4"/>
        <v>-2.6469390525315633</v>
      </c>
      <c r="F91" s="1">
        <f t="shared" si="5"/>
        <v>0.56085249579361429</v>
      </c>
      <c r="G91" s="1">
        <f t="shared" si="6"/>
        <v>-2.4483133841131628</v>
      </c>
      <c r="H91" s="1">
        <f t="shared" si="3"/>
        <v>-0.99392600773053408</v>
      </c>
      <c r="J91" s="9">
        <v>110</v>
      </c>
      <c r="K91">
        <f>COUNTIFS(Table1[WTI Close], "&gt;="&amp;J91, Table1[WTI Close], "&lt;"&amp;J92, Table1[Event Category], "De-escalation")</f>
        <v>0</v>
      </c>
    </row>
    <row r="92" spans="1:11">
      <c r="A92" s="8">
        <v>45701</v>
      </c>
      <c r="B92" s="4" t="s">
        <v>34</v>
      </c>
      <c r="C92" s="4"/>
      <c r="D92" s="7">
        <v>71.66</v>
      </c>
      <c r="E92" s="1">
        <f t="shared" si="4"/>
        <v>-8.3658672615730997E-2</v>
      </c>
      <c r="F92" s="1">
        <f t="shared" si="5"/>
        <v>-1.4711948301938778</v>
      </c>
      <c r="G92" s="1">
        <f t="shared" si="6"/>
        <v>-1.8893756845564207</v>
      </c>
      <c r="H92" s="1">
        <f t="shared" si="3"/>
        <v>-2.8865699959344213</v>
      </c>
      <c r="J92" s="9">
        <v>115</v>
      </c>
      <c r="K92">
        <f>COUNTIFS(Table1[WTI Close], "&gt;="&amp;J92, Table1[WTI Close], "&lt;"&amp;J93, Table1[Event Category], "De-escalation")</f>
        <v>0</v>
      </c>
    </row>
    <row r="93" spans="1:11">
      <c r="A93" s="8">
        <v>45702</v>
      </c>
      <c r="B93" s="4" t="s">
        <v>34</v>
      </c>
      <c r="C93" s="4"/>
      <c r="D93" s="7">
        <v>71.05</v>
      </c>
      <c r="E93" s="1">
        <f t="shared" si="4"/>
        <v>-0.85124197599776641</v>
      </c>
      <c r="F93" s="1">
        <f t="shared" si="5"/>
        <v>-3.5564001628885631</v>
      </c>
      <c r="G93" s="1">
        <f t="shared" si="6"/>
        <v>-0.47625717887659813</v>
      </c>
      <c r="H93" s="1">
        <f t="shared" si="3"/>
        <v>-4.8097534833869284</v>
      </c>
      <c r="J93" t="s">
        <v>49</v>
      </c>
      <c r="K93">
        <f>SUM(K80:K92)</f>
        <v>55</v>
      </c>
    </row>
    <row r="94" spans="1:11">
      <c r="A94" s="8">
        <v>45706</v>
      </c>
      <c r="B94" s="4" t="s">
        <v>34</v>
      </c>
      <c r="C94" s="4"/>
      <c r="D94" s="7">
        <v>72.209999999999994</v>
      </c>
      <c r="E94" s="1">
        <f t="shared" si="4"/>
        <v>1.6326530612244852</v>
      </c>
      <c r="F94" s="1">
        <f t="shared" si="5"/>
        <v>0.68321249302843678</v>
      </c>
      <c r="G94" s="1">
        <f t="shared" si="6"/>
        <v>1.7472171340002747</v>
      </c>
      <c r="H94" s="1">
        <f t="shared" si="3"/>
        <v>-2.8259991925716705</v>
      </c>
    </row>
    <row r="95" spans="1:11">
      <c r="A95" s="8">
        <v>45707</v>
      </c>
      <c r="B95" s="4" t="s">
        <v>34</v>
      </c>
      <c r="C95" s="4"/>
      <c r="D95" s="7">
        <v>72.58</v>
      </c>
      <c r="E95" s="1">
        <f t="shared" si="4"/>
        <v>0.51239440520704138</v>
      </c>
      <c r="F95" s="1">
        <f t="shared" si="5"/>
        <v>1.2838403572425365</v>
      </c>
      <c r="G95" s="1">
        <f t="shared" si="6"/>
        <v>1.766685361749867</v>
      </c>
      <c r="H95" s="1">
        <f t="shared" ref="H95:H158" si="7">(D95-D67)/D67*100</f>
        <v>-3.2137618349113168</v>
      </c>
    </row>
    <row r="96" spans="1:11">
      <c r="A96" s="8">
        <v>45708</v>
      </c>
      <c r="B96" s="4" t="s">
        <v>34</v>
      </c>
      <c r="C96" s="4"/>
      <c r="D96" s="7">
        <v>72.88</v>
      </c>
      <c r="E96" s="1">
        <f t="shared" si="4"/>
        <v>0.41333700744006219</v>
      </c>
      <c r="F96" s="1">
        <f t="shared" si="5"/>
        <v>2.5756509500351843</v>
      </c>
      <c r="G96" s="1">
        <f t="shared" si="6"/>
        <v>0.20624226591501646</v>
      </c>
      <c r="H96" s="1">
        <f t="shared" si="7"/>
        <v>-1.5002027300986613</v>
      </c>
      <c r="J96" t="s">
        <v>34</v>
      </c>
    </row>
    <row r="97" spans="1:11">
      <c r="A97" s="8">
        <v>45709</v>
      </c>
      <c r="B97" s="4" t="s">
        <v>34</v>
      </c>
      <c r="C97" s="4"/>
      <c r="D97" s="7">
        <v>70.72</v>
      </c>
      <c r="E97" s="1">
        <f t="shared" si="4"/>
        <v>-2.9637760702524654</v>
      </c>
      <c r="F97" s="1">
        <f t="shared" si="5"/>
        <v>-2.0634261182661611</v>
      </c>
      <c r="G97" s="1">
        <f t="shared" si="6"/>
        <v>-4.0043436948554403</v>
      </c>
      <c r="H97" s="1">
        <f t="shared" si="7"/>
        <v>-8.4767697683447629</v>
      </c>
      <c r="J97" t="s">
        <v>51</v>
      </c>
      <c r="K97" s="1" cm="1">
        <f t="array" ref="K97">AVERAGE(IF(Table1[Event Category] = "Policy Uncertainty", Table1[WTI Close]))</f>
        <v>64.145638297872381</v>
      </c>
    </row>
    <row r="98" spans="1:11">
      <c r="A98" s="8">
        <v>45712</v>
      </c>
      <c r="B98" s="4" t="s">
        <v>34</v>
      </c>
      <c r="C98" s="4"/>
      <c r="D98" s="7">
        <v>71.06</v>
      </c>
      <c r="E98" s="1">
        <f t="shared" si="4"/>
        <v>0.48076923076923556</v>
      </c>
      <c r="F98" s="1">
        <f t="shared" si="5"/>
        <v>-2.0942408376963297</v>
      </c>
      <c r="G98" s="1">
        <f t="shared" si="6"/>
        <v>-0.92024539877300138</v>
      </c>
      <c r="H98" s="1">
        <f t="shared" si="7"/>
        <v>-10.694985547316817</v>
      </c>
      <c r="J98" t="s">
        <v>43</v>
      </c>
      <c r="K98" s="1" cm="1">
        <f t="array" ref="K98">MEDIAN(IF(Table1[Event Category] = "Policy Uncertainty", Table1[WTI Close]))</f>
        <v>63.025000000000006</v>
      </c>
    </row>
    <row r="99" spans="1:11">
      <c r="A99" s="8">
        <v>45713</v>
      </c>
      <c r="B99" s="4" t="s">
        <v>34</v>
      </c>
      <c r="C99" s="4"/>
      <c r="D99" s="7">
        <v>69.150000000000006</v>
      </c>
      <c r="E99" s="1">
        <f t="shared" si="4"/>
        <v>-2.6878694061356549</v>
      </c>
      <c r="F99" s="1">
        <f t="shared" si="5"/>
        <v>-5.1180021953896677</v>
      </c>
      <c r="G99" s="1">
        <f t="shared" si="6"/>
        <v>-3.5026514094334229</v>
      </c>
      <c r="H99" s="1">
        <f t="shared" si="7"/>
        <v>-11.572890025575443</v>
      </c>
      <c r="J99" t="s">
        <v>44</v>
      </c>
      <c r="K99" cm="1">
        <f t="array" ref="K99">MIN(IF(Table1[Event Category] = "Policy Uncertainty", Table1[WTI Close]))</f>
        <v>55.44</v>
      </c>
    </row>
    <row r="100" spans="1:11">
      <c r="A100" s="8">
        <v>45714</v>
      </c>
      <c r="B100" s="4" t="s">
        <v>34</v>
      </c>
      <c r="C100" s="4"/>
      <c r="D100" s="7">
        <v>68.87</v>
      </c>
      <c r="E100" s="1">
        <f t="shared" si="4"/>
        <v>-0.40491684743311801</v>
      </c>
      <c r="F100" s="1">
        <f t="shared" si="5"/>
        <v>-2.6159502262443359</v>
      </c>
      <c r="G100" s="1">
        <f t="shared" si="6"/>
        <v>-3.0682617874735998</v>
      </c>
      <c r="H100" s="1">
        <f t="shared" si="7"/>
        <v>-14.690945125727733</v>
      </c>
      <c r="J100" t="s">
        <v>45</v>
      </c>
      <c r="K100" cm="1">
        <f t="array" ref="K100">MAX(IF(Table1[Event Category] = "Policy Uncertainty", Table1[WTI Close]))</f>
        <v>76.790000000000006</v>
      </c>
    </row>
    <row r="101" spans="1:11">
      <c r="A101" s="8">
        <v>45715</v>
      </c>
      <c r="B101" s="4" t="s">
        <v>34</v>
      </c>
      <c r="C101" s="4"/>
      <c r="D101" s="7">
        <v>70.62</v>
      </c>
      <c r="E101" s="1">
        <f t="shared" si="4"/>
        <v>2.5410193117467688</v>
      </c>
      <c r="F101" s="1">
        <f t="shared" si="5"/>
        <v>-0.6191950464396252</v>
      </c>
      <c r="G101" s="1">
        <f t="shared" si="6"/>
        <v>-2.2019110926464331</v>
      </c>
      <c r="H101" s="1">
        <f t="shared" si="7"/>
        <v>-11.001890359168231</v>
      </c>
      <c r="J101" t="s">
        <v>46</v>
      </c>
      <c r="K101" s="1" cm="1">
        <f t="array" ref="K101">STDEV(IF(Table1[Event Category] = "Policy Uncertainty", Table1[WTI Close]))</f>
        <v>4.8337364028034742</v>
      </c>
    </row>
    <row r="102" spans="1:11">
      <c r="A102" s="8">
        <v>45716</v>
      </c>
      <c r="B102" s="4" t="s">
        <v>34</v>
      </c>
      <c r="C102" s="4"/>
      <c r="D102" s="7">
        <v>69.97</v>
      </c>
      <c r="E102" s="1">
        <f t="shared" si="4"/>
        <v>-0.92041914471821806</v>
      </c>
      <c r="F102" s="1">
        <f t="shared" si="5"/>
        <v>1.185827910339831</v>
      </c>
      <c r="G102" s="1">
        <f t="shared" si="6"/>
        <v>-3.5960319647285743</v>
      </c>
      <c r="H102" s="1">
        <f t="shared" si="7"/>
        <v>-10.934317718940941</v>
      </c>
    </row>
    <row r="103" spans="1:11">
      <c r="A103" s="8">
        <v>45719</v>
      </c>
      <c r="B103" s="4" t="s">
        <v>34</v>
      </c>
      <c r="C103" s="4"/>
      <c r="D103" s="7">
        <v>68.63</v>
      </c>
      <c r="E103" s="1">
        <f t="shared" si="4"/>
        <v>-1.9151064742032347</v>
      </c>
      <c r="F103" s="1">
        <f t="shared" si="5"/>
        <v>-0.34848264846814153</v>
      </c>
      <c r="G103" s="1">
        <f t="shared" si="6"/>
        <v>-5.8315038419319434</v>
      </c>
      <c r="H103" s="1">
        <f t="shared" si="7"/>
        <v>-10.626383643703621</v>
      </c>
      <c r="J103" t="s">
        <v>47</v>
      </c>
      <c r="K103" s="1"/>
    </row>
    <row r="104" spans="1:11">
      <c r="A104" s="8">
        <v>45720</v>
      </c>
      <c r="B104" s="4" t="s">
        <v>34</v>
      </c>
      <c r="C104" s="4"/>
      <c r="D104" s="7">
        <v>68.47</v>
      </c>
      <c r="E104" s="1">
        <f t="shared" si="4"/>
        <v>-0.23313419787264547</v>
      </c>
      <c r="F104" s="1">
        <f t="shared" si="5"/>
        <v>-3.0444633248371646</v>
      </c>
      <c r="G104" s="1">
        <f t="shared" si="6"/>
        <v>-3.1815610859728505</v>
      </c>
      <c r="H104" s="1">
        <f t="shared" si="7"/>
        <v>-10.049921177088814</v>
      </c>
      <c r="J104" s="9">
        <v>55</v>
      </c>
      <c r="K104">
        <f>COUNTIFS(Table1[WTI Close], "&gt;="&amp;J104, Table1[WTI Close], "&lt;"&amp;J105, Table1[Event Category], "Policy Uncertainty")</f>
        <v>40</v>
      </c>
    </row>
    <row r="105" spans="1:11">
      <c r="A105" s="8">
        <v>45721</v>
      </c>
      <c r="B105" s="4" t="s">
        <v>34</v>
      </c>
      <c r="C105" s="4"/>
      <c r="D105" s="7">
        <v>66.58</v>
      </c>
      <c r="E105" s="1">
        <f t="shared" si="4"/>
        <v>-2.7603329925514832</v>
      </c>
      <c r="F105" s="1">
        <f t="shared" si="5"/>
        <v>-4.8449335429469782</v>
      </c>
      <c r="G105" s="1">
        <f t="shared" si="6"/>
        <v>-6.3045313819307687</v>
      </c>
      <c r="H105" s="1">
        <f t="shared" si="7"/>
        <v>-11.262161801945892</v>
      </c>
      <c r="J105" s="9">
        <v>60</v>
      </c>
      <c r="K105">
        <f>COUNTIFS(Table1[WTI Close], "&gt;="&amp;J105, Table1[WTI Close], "&lt;"&amp;J106, Table1[Event Category], "Policy Uncertainty")</f>
        <v>80</v>
      </c>
    </row>
    <row r="106" spans="1:11">
      <c r="A106" s="8">
        <v>45722</v>
      </c>
      <c r="B106" s="4" t="s">
        <v>34</v>
      </c>
      <c r="C106" s="4"/>
      <c r="D106" s="7">
        <v>66.62</v>
      </c>
      <c r="E106" s="1">
        <f t="shared" si="4"/>
        <v>6.007810153200098E-2</v>
      </c>
      <c r="F106" s="1">
        <f t="shared" si="5"/>
        <v>-2.9287483607751583</v>
      </c>
      <c r="G106" s="1">
        <f t="shared" si="6"/>
        <v>-3.6587129428778029</v>
      </c>
      <c r="H106" s="1">
        <f t="shared" si="7"/>
        <v>-11.137788448712811</v>
      </c>
      <c r="J106" s="9">
        <v>65</v>
      </c>
      <c r="K106">
        <f>COUNTIFS(Table1[WTI Close], "&gt;="&amp;J106, Table1[WTI Close], "&lt;"&amp;J107, Table1[Event Category], "Policy Uncertainty")</f>
        <v>38</v>
      </c>
    </row>
    <row r="107" spans="1:11">
      <c r="A107" s="8">
        <v>45723</v>
      </c>
      <c r="B107" s="4" t="s">
        <v>34</v>
      </c>
      <c r="C107" s="4"/>
      <c r="D107" s="7">
        <v>67.290000000000006</v>
      </c>
      <c r="E107" s="1">
        <f t="shared" si="4"/>
        <v>1.0057039927949589</v>
      </c>
      <c r="F107" s="1">
        <f t="shared" si="5"/>
        <v>-1.7233825032860999</v>
      </c>
      <c r="G107" s="1">
        <f t="shared" si="6"/>
        <v>-2.2941774357485092</v>
      </c>
      <c r="H107" s="1">
        <f t="shared" si="7"/>
        <v>-8.4614338185280893</v>
      </c>
      <c r="J107" s="9">
        <v>70</v>
      </c>
      <c r="K107">
        <f>COUNTIFS(Table1[WTI Close], "&gt;="&amp;J107, Table1[WTI Close], "&lt;"&amp;J108, Table1[Event Category], "Policy Uncertainty")</f>
        <v>27</v>
      </c>
    </row>
    <row r="108" spans="1:11">
      <c r="A108" s="8">
        <v>45726</v>
      </c>
      <c r="B108" s="4" t="s">
        <v>34</v>
      </c>
      <c r="C108" s="4"/>
      <c r="D108" s="7">
        <v>66.31</v>
      </c>
      <c r="E108" s="1">
        <f t="shared" si="4"/>
        <v>-1.4563828206271421</v>
      </c>
      <c r="F108" s="1">
        <f t="shared" si="5"/>
        <v>-0.40552718534093729</v>
      </c>
      <c r="G108" s="1">
        <f t="shared" si="6"/>
        <v>-6.1030869442084423</v>
      </c>
      <c r="H108" s="1">
        <f t="shared" si="7"/>
        <v>-10.573162508428863</v>
      </c>
      <c r="J108" s="9">
        <v>75</v>
      </c>
      <c r="K108">
        <f>COUNTIFS(Table1[WTI Close], "&gt;="&amp;J108, Table1[WTI Close], "&lt;"&amp;J109, Table1[Event Category], "Policy Uncertainty")</f>
        <v>3</v>
      </c>
    </row>
    <row r="109" spans="1:11">
      <c r="A109" s="8">
        <v>45727</v>
      </c>
      <c r="B109" s="4" t="s">
        <v>34</v>
      </c>
      <c r="C109" s="4"/>
      <c r="D109" s="7">
        <v>66.52</v>
      </c>
      <c r="E109" s="1">
        <f t="shared" si="4"/>
        <v>0.31669431458300973</v>
      </c>
      <c r="F109" s="1">
        <f t="shared" si="5"/>
        <v>-0.15010507355149882</v>
      </c>
      <c r="G109" s="1">
        <f t="shared" si="6"/>
        <v>-4.9306845791053346</v>
      </c>
      <c r="H109" s="1">
        <f t="shared" si="7"/>
        <v>-8.8017548670139867</v>
      </c>
      <c r="J109" s="9">
        <v>80</v>
      </c>
      <c r="K109">
        <f>COUNTIFS(Table1[WTI Close], "&gt;="&amp;J109, Table1[WTI Close], "&lt;"&amp;J110, Table1[Event Category], "Policy Uncertainty")</f>
        <v>0</v>
      </c>
    </row>
    <row r="110" spans="1:11">
      <c r="A110" s="8">
        <v>45728</v>
      </c>
      <c r="B110" s="4" t="s">
        <v>34</v>
      </c>
      <c r="C110" s="4"/>
      <c r="D110" s="7">
        <v>67.650000000000006</v>
      </c>
      <c r="E110" s="1">
        <f t="shared" si="4"/>
        <v>1.6987372218881684</v>
      </c>
      <c r="F110" s="1">
        <f t="shared" si="5"/>
        <v>0.53499777084262068</v>
      </c>
      <c r="G110" s="1">
        <f t="shared" si="6"/>
        <v>-1.4279469619699692</v>
      </c>
      <c r="H110" s="1">
        <f t="shared" si="7"/>
        <v>-7.4555403556771402</v>
      </c>
      <c r="J110" s="9">
        <v>85</v>
      </c>
      <c r="K110">
        <f>COUNTIFS(Table1[WTI Close], "&gt;="&amp;J110, Table1[WTI Close], "&lt;"&amp;J111, Table1[Event Category], "Policy Uncertainty")</f>
        <v>0</v>
      </c>
    </row>
    <row r="111" spans="1:11">
      <c r="A111" s="8">
        <v>45729</v>
      </c>
      <c r="B111" s="4" t="s">
        <v>34</v>
      </c>
      <c r="C111" s="4"/>
      <c r="D111" s="7">
        <v>66.819999999999993</v>
      </c>
      <c r="E111" s="1">
        <f t="shared" si="4"/>
        <v>-1.2269031781227087</v>
      </c>
      <c r="F111" s="1">
        <f t="shared" si="5"/>
        <v>0.76911476398731848</v>
      </c>
      <c r="G111" s="1">
        <f t="shared" si="6"/>
        <v>-2.4098145173068581</v>
      </c>
      <c r="H111" s="1">
        <f t="shared" si="7"/>
        <v>-8.2646897309170928</v>
      </c>
      <c r="J111" s="9">
        <v>90</v>
      </c>
      <c r="K111">
        <f>COUNTIFS(Table1[WTI Close], "&gt;="&amp;J111, Table1[WTI Close], "&lt;"&amp;J112, Table1[Event Category], "Policy Uncertainty")</f>
        <v>0</v>
      </c>
    </row>
    <row r="112" spans="1:11">
      <c r="A112" s="8">
        <v>45730</v>
      </c>
      <c r="B112" s="4" t="s">
        <v>34</v>
      </c>
      <c r="C112" s="4"/>
      <c r="D112" s="7">
        <v>67.430000000000007</v>
      </c>
      <c r="E112" s="1">
        <f t="shared" si="4"/>
        <v>0.91290032924276221</v>
      </c>
      <c r="F112" s="1">
        <f t="shared" si="5"/>
        <v>1.3680096211665829</v>
      </c>
      <c r="G112" s="1">
        <f t="shared" si="6"/>
        <v>1.2766596575548341</v>
      </c>
      <c r="H112" s="1">
        <f t="shared" si="7"/>
        <v>-8.2834602829161987</v>
      </c>
      <c r="J112" s="9">
        <v>95</v>
      </c>
      <c r="K112">
        <f>COUNTIFS(Table1[WTI Close], "&gt;="&amp;J112, Table1[WTI Close], "&lt;"&amp;J113, Table1[Event Category], "Policy Uncertainty")</f>
        <v>0</v>
      </c>
    </row>
    <row r="113" spans="1:11">
      <c r="A113" s="8">
        <v>45733</v>
      </c>
      <c r="B113" s="4" t="s">
        <v>34</v>
      </c>
      <c r="C113" s="4"/>
      <c r="D113" s="7">
        <v>67.84</v>
      </c>
      <c r="E113" s="1">
        <f t="shared" si="4"/>
        <v>0.60803796529734033</v>
      </c>
      <c r="F113" s="1">
        <f t="shared" si="5"/>
        <v>0.28085735402808237</v>
      </c>
      <c r="G113" s="1">
        <f t="shared" si="6"/>
        <v>1.831281897328128</v>
      </c>
      <c r="H113" s="1">
        <f t="shared" si="7"/>
        <v>-7.1193866374589296</v>
      </c>
      <c r="J113" s="9">
        <v>100</v>
      </c>
      <c r="K113">
        <f>COUNTIFS(Table1[WTI Close], "&gt;="&amp;J113, Table1[WTI Close], "&lt;"&amp;J114, Table1[Event Category], "Policy Uncertainty")</f>
        <v>0</v>
      </c>
    </row>
    <row r="114" spans="1:11">
      <c r="A114" s="8">
        <v>45734</v>
      </c>
      <c r="B114" s="4" t="s">
        <v>34</v>
      </c>
      <c r="C114" s="4"/>
      <c r="D114" s="7">
        <v>67.489999999999995</v>
      </c>
      <c r="E114" s="1">
        <f t="shared" si="4"/>
        <v>-0.51591981132076725</v>
      </c>
      <c r="F114" s="1">
        <f t="shared" si="5"/>
        <v>1.0026938042502271</v>
      </c>
      <c r="G114" s="1">
        <f t="shared" si="6"/>
        <v>0.29722098380143946</v>
      </c>
      <c r="H114" s="1">
        <f t="shared" si="7"/>
        <v>-5.4629499929962257</v>
      </c>
      <c r="J114" s="9">
        <v>105</v>
      </c>
      <c r="K114">
        <f>COUNTIFS(Table1[WTI Close], "&gt;="&amp;J114, Table1[WTI Close], "&lt;"&amp;J115, Table1[Event Category], "Policy Uncertainty")</f>
        <v>0</v>
      </c>
    </row>
    <row r="115" spans="1:11">
      <c r="A115" s="8">
        <v>45735</v>
      </c>
      <c r="B115" s="4" t="s">
        <v>34</v>
      </c>
      <c r="C115" s="4"/>
      <c r="D115" s="7">
        <v>67.400000000000006</v>
      </c>
      <c r="E115" s="1">
        <f t="shared" si="4"/>
        <v>-0.13335308934655385</v>
      </c>
      <c r="F115" s="1">
        <f t="shared" si="5"/>
        <v>-4.4490582826636711E-2</v>
      </c>
      <c r="G115" s="1">
        <f t="shared" si="6"/>
        <v>1.6437942995023425</v>
      </c>
      <c r="H115" s="1">
        <f t="shared" si="7"/>
        <v>-5.0302944906298341</v>
      </c>
      <c r="J115" s="9">
        <v>110</v>
      </c>
      <c r="K115">
        <f>COUNTIFS(Table1[WTI Close], "&gt;="&amp;J115, Table1[WTI Close], "&lt;"&amp;J116, Table1[Event Category], "Policy Uncertainty")</f>
        <v>0</v>
      </c>
    </row>
    <row r="116" spans="1:11">
      <c r="A116" s="8">
        <v>45736</v>
      </c>
      <c r="B116" s="4" t="s">
        <v>34</v>
      </c>
      <c r="C116" s="4"/>
      <c r="D116" s="7">
        <v>68.55</v>
      </c>
      <c r="E116" s="1">
        <f t="shared" si="4"/>
        <v>1.7062314540059218</v>
      </c>
      <c r="F116" s="1">
        <f t="shared" si="5"/>
        <v>1.0465801886792361</v>
      </c>
      <c r="G116" s="1">
        <f t="shared" si="6"/>
        <v>3.0517137702946502</v>
      </c>
      <c r="H116" s="1">
        <f t="shared" si="7"/>
        <v>-3.8839035333707179</v>
      </c>
      <c r="J116" s="9">
        <v>115</v>
      </c>
      <c r="K116">
        <f>COUNTIFS(Table1[WTI Close], "&gt;="&amp;J116, Table1[WTI Close], "&lt;"&amp;J117, Table1[Event Category], "Policy Uncertainty")</f>
        <v>0</v>
      </c>
    </row>
    <row r="117" spans="1:11">
      <c r="A117" s="8">
        <v>45737</v>
      </c>
      <c r="B117" s="4" t="s">
        <v>34</v>
      </c>
      <c r="C117" s="4"/>
      <c r="D117" s="7">
        <v>68.52</v>
      </c>
      <c r="E117" s="1">
        <f t="shared" si="4"/>
        <v>-4.3763676148798163E-2</v>
      </c>
      <c r="F117" s="1">
        <f t="shared" si="5"/>
        <v>1.5261520225218568</v>
      </c>
      <c r="G117" s="1">
        <f t="shared" si="6"/>
        <v>1.2860310421285888</v>
      </c>
      <c r="H117" s="1">
        <f t="shared" si="7"/>
        <v>-5.7885329300151351</v>
      </c>
      <c r="J117" t="s">
        <v>49</v>
      </c>
      <c r="K117">
        <f>SUM(K104:K116)</f>
        <v>188</v>
      </c>
    </row>
    <row r="118" spans="1:11">
      <c r="A118" s="8">
        <v>45740</v>
      </c>
      <c r="B118" s="4" t="s">
        <v>34</v>
      </c>
      <c r="C118" s="4"/>
      <c r="D118" s="7">
        <v>69.459999999999994</v>
      </c>
      <c r="E118" s="1">
        <f t="shared" si="4"/>
        <v>1.3718622300058345</v>
      </c>
      <c r="F118" s="1">
        <f t="shared" si="5"/>
        <v>3.0563798219584388</v>
      </c>
      <c r="G118" s="1">
        <f t="shared" si="6"/>
        <v>3.9509129003292438</v>
      </c>
      <c r="H118" s="1">
        <f t="shared" si="7"/>
        <v>-5.7146735441835315</v>
      </c>
    </row>
    <row r="119" spans="1:11">
      <c r="A119" s="8">
        <v>45741</v>
      </c>
      <c r="B119" s="4" t="s">
        <v>34</v>
      </c>
      <c r="C119" s="4"/>
      <c r="D119" s="7">
        <v>69.48</v>
      </c>
      <c r="E119" s="1">
        <f t="shared" si="4"/>
        <v>2.8793550244759911E-2</v>
      </c>
      <c r="F119" s="1">
        <f t="shared" si="5"/>
        <v>1.3566739606127014</v>
      </c>
      <c r="G119" s="1">
        <f t="shared" si="6"/>
        <v>3.0401898264867224</v>
      </c>
      <c r="H119" s="1">
        <f t="shared" si="7"/>
        <v>-3.1232571109871654</v>
      </c>
      <c r="J119" t="s">
        <v>8</v>
      </c>
    </row>
    <row r="120" spans="1:11">
      <c r="A120" s="8">
        <v>45742</v>
      </c>
      <c r="B120" s="4" t="s">
        <v>34</v>
      </c>
      <c r="C120" s="4"/>
      <c r="D120" s="7">
        <v>70.05</v>
      </c>
      <c r="E120" s="1">
        <f t="shared" si="4"/>
        <v>0.82037996545767589</v>
      </c>
      <c r="F120" s="1">
        <f t="shared" si="5"/>
        <v>2.2329246935201419</v>
      </c>
      <c r="G120" s="1">
        <f t="shared" si="6"/>
        <v>3.2576650943396133</v>
      </c>
      <c r="H120" s="1">
        <f t="shared" si="7"/>
        <v>-2.2467206251744343</v>
      </c>
      <c r="J120" t="s">
        <v>51</v>
      </c>
      <c r="K120" s="1" cm="1">
        <f t="array" ref="K120">AVERAGE(IF(Table1[Event Category] = "Geopolitical Tension", Table1[WTI Close]))</f>
        <v>69.421649484536076</v>
      </c>
    </row>
    <row r="121" spans="1:11">
      <c r="A121" s="8">
        <v>45743</v>
      </c>
      <c r="B121" s="4" t="s">
        <v>34</v>
      </c>
      <c r="C121" s="4"/>
      <c r="D121" s="7">
        <v>70.3</v>
      </c>
      <c r="E121" s="1">
        <f t="shared" si="4"/>
        <v>0.3568879371877231</v>
      </c>
      <c r="F121" s="1">
        <f t="shared" si="5"/>
        <v>1.2093291102793025</v>
      </c>
      <c r="G121" s="1">
        <f t="shared" si="6"/>
        <v>4.1635797895984625</v>
      </c>
      <c r="H121" s="1">
        <f t="shared" si="7"/>
        <v>-1.0555946516537649</v>
      </c>
      <c r="J121" t="s">
        <v>43</v>
      </c>
      <c r="K121" s="1" cm="1">
        <f t="array" ref="K121">MEDIAN(IF(Table1[Event Category] = "Geopolitical Tension", Table1[WTI Close]))</f>
        <v>69.81</v>
      </c>
    </row>
    <row r="122" spans="1:11">
      <c r="A122" s="8">
        <v>45744</v>
      </c>
      <c r="B122" s="4" t="s">
        <v>34</v>
      </c>
      <c r="C122" s="4"/>
      <c r="D122" s="7">
        <v>69.739999999999995</v>
      </c>
      <c r="E122" s="1">
        <f t="shared" si="4"/>
        <v>-0.79658605974395769</v>
      </c>
      <c r="F122" s="1">
        <f t="shared" si="5"/>
        <v>0.37420840529647509</v>
      </c>
      <c r="G122" s="1">
        <f t="shared" si="6"/>
        <v>3.4718100890207557</v>
      </c>
      <c r="H122" s="1">
        <f t="shared" si="7"/>
        <v>-3.4205788671929085</v>
      </c>
      <c r="J122" t="s">
        <v>44</v>
      </c>
      <c r="K122" cm="1">
        <f t="array" ref="K122">MIN(IF(Table1[Event Category] = "Geopolitical Tension", Table1[WTI Close]))</f>
        <v>59.13</v>
      </c>
    </row>
    <row r="123" spans="1:11">
      <c r="A123" s="8">
        <v>45747</v>
      </c>
      <c r="B123" s="4" t="s">
        <v>34</v>
      </c>
      <c r="C123" s="4"/>
      <c r="D123" s="7">
        <v>71.87</v>
      </c>
      <c r="E123" s="1">
        <f t="shared" si="4"/>
        <v>3.0542013191855606</v>
      </c>
      <c r="F123" s="1">
        <f t="shared" si="5"/>
        <v>2.5981441827266347</v>
      </c>
      <c r="G123" s="1">
        <f t="shared" si="6"/>
        <v>4.8431801604668232</v>
      </c>
      <c r="H123" s="1">
        <f t="shared" si="7"/>
        <v>-0.97823091760814784</v>
      </c>
      <c r="J123" t="s">
        <v>45</v>
      </c>
      <c r="K123" cm="1">
        <f t="array" ref="K123">MAX(IF(Table1[Event Category] = "Geopolitical Tension", Table1[WTI Close]))</f>
        <v>80.73</v>
      </c>
    </row>
    <row r="124" spans="1:11">
      <c r="A124" s="8">
        <v>45748</v>
      </c>
      <c r="B124" s="4" t="s">
        <v>34</v>
      </c>
      <c r="C124" s="4"/>
      <c r="D124" s="7">
        <v>71.61</v>
      </c>
      <c r="E124" s="1">
        <f t="shared" si="4"/>
        <v>-0.36176429664673038</v>
      </c>
      <c r="F124" s="1">
        <f t="shared" si="5"/>
        <v>1.8634423897581827</v>
      </c>
      <c r="G124" s="1">
        <f t="shared" si="6"/>
        <v>4.5096322241681319</v>
      </c>
      <c r="H124" s="1">
        <f t="shared" si="7"/>
        <v>-1.7425905598243634</v>
      </c>
      <c r="J124" t="s">
        <v>46</v>
      </c>
      <c r="K124" s="1" cm="1">
        <f t="array" ref="K124">STDEV(IF(Table1[Event Category] = "Geopolitical Tension", Table1[WTI Close]))</f>
        <v>4.8646744667578501</v>
      </c>
    </row>
    <row r="125" spans="1:11">
      <c r="A125" s="8">
        <v>45749</v>
      </c>
      <c r="B125" s="4" t="s">
        <v>34</v>
      </c>
      <c r="C125" s="4"/>
      <c r="D125" s="7">
        <v>72.12</v>
      </c>
      <c r="E125" s="1">
        <f t="shared" si="4"/>
        <v>0.71219103477168699</v>
      </c>
      <c r="F125" s="1">
        <f t="shared" si="5"/>
        <v>3.4126756524233004</v>
      </c>
      <c r="G125" s="1">
        <f t="shared" si="6"/>
        <v>3.8295421825511244</v>
      </c>
      <c r="H125" s="1">
        <f t="shared" si="7"/>
        <v>1.979638009049782</v>
      </c>
    </row>
    <row r="126" spans="1:11">
      <c r="A126" s="8">
        <v>45750</v>
      </c>
      <c r="B126" s="4" t="s">
        <v>34</v>
      </c>
      <c r="C126" s="4"/>
      <c r="D126" s="7">
        <v>67.430000000000007</v>
      </c>
      <c r="E126" s="1">
        <f t="shared" si="4"/>
        <v>-6.5030504714364916</v>
      </c>
      <c r="F126" s="1">
        <f t="shared" si="5"/>
        <v>-6.1778210658132702</v>
      </c>
      <c r="G126" s="1">
        <f t="shared" si="6"/>
        <v>-2.9504893494530759</v>
      </c>
      <c r="H126" s="1">
        <f t="shared" si="7"/>
        <v>-5.1083591331269291</v>
      </c>
      <c r="J126" t="s">
        <v>47</v>
      </c>
      <c r="K126" s="1"/>
    </row>
    <row r="127" spans="1:11">
      <c r="A127" s="8">
        <v>45751</v>
      </c>
      <c r="B127" s="4" t="s">
        <v>34</v>
      </c>
      <c r="C127" s="4"/>
      <c r="D127" s="7">
        <v>62.42</v>
      </c>
      <c r="E127" s="1">
        <f t="shared" si="4"/>
        <v>-7.4299273320480568</v>
      </c>
      <c r="F127" s="1">
        <f t="shared" si="5"/>
        <v>-12.833403155983797</v>
      </c>
      <c r="G127" s="1">
        <f t="shared" si="6"/>
        <v>-10.892219842969302</v>
      </c>
      <c r="H127" s="1">
        <f t="shared" si="7"/>
        <v>-9.7324656543745522</v>
      </c>
      <c r="J127" s="9">
        <v>55</v>
      </c>
      <c r="K127">
        <f>COUNTIFS(Table1[WTI Close], "&gt;="&amp;J127, Table1[WTI Close], "&lt;"&amp;J128, Table1[Event Category], "Geopolitical Tension")</f>
        <v>3</v>
      </c>
    </row>
    <row r="128" spans="1:11">
      <c r="A128" s="8">
        <v>45754</v>
      </c>
      <c r="B128" s="4" t="s">
        <v>34</v>
      </c>
      <c r="C128" s="4"/>
      <c r="D128" s="7">
        <v>61.05</v>
      </c>
      <c r="E128" s="1">
        <f t="shared" si="4"/>
        <v>-2.1948093559756559</v>
      </c>
      <c r="F128" s="1">
        <f t="shared" si="5"/>
        <v>-15.349417637271223</v>
      </c>
      <c r="G128" s="1">
        <f t="shared" si="6"/>
        <v>-13.157894736842104</v>
      </c>
      <c r="H128" s="1">
        <f t="shared" si="7"/>
        <v>-11.354726295919859</v>
      </c>
      <c r="J128" s="9">
        <v>60</v>
      </c>
      <c r="K128">
        <f>COUNTIFS(Table1[WTI Close], "&gt;="&amp;J128, Table1[WTI Close], "&lt;"&amp;J129, Table1[Event Category], "Geopolitical Tension")</f>
        <v>19</v>
      </c>
    </row>
    <row r="129" spans="1:11">
      <c r="A129" s="8">
        <v>45755</v>
      </c>
      <c r="B129" s="4" t="s">
        <v>34</v>
      </c>
      <c r="C129" s="4"/>
      <c r="D129" s="7">
        <v>60.04</v>
      </c>
      <c r="E129" s="1">
        <f t="shared" si="4"/>
        <v>-1.6543816543816512</v>
      </c>
      <c r="F129" s="1">
        <f t="shared" si="5"/>
        <v>-10.959513569627772</v>
      </c>
      <c r="G129" s="1">
        <f t="shared" si="6"/>
        <v>-13.908804129624313</v>
      </c>
      <c r="H129" s="1">
        <f t="shared" si="7"/>
        <v>-14.981591617105641</v>
      </c>
      <c r="J129" s="9">
        <v>65</v>
      </c>
      <c r="K129">
        <f>COUNTIFS(Table1[WTI Close], "&gt;="&amp;J129, Table1[WTI Close], "&lt;"&amp;J130, Table1[Event Category], "Geopolitical Tension")</f>
        <v>27</v>
      </c>
    </row>
    <row r="130" spans="1:11">
      <c r="A130" s="8">
        <v>45756</v>
      </c>
      <c r="B130" s="4" t="s">
        <v>34</v>
      </c>
      <c r="C130" s="4"/>
      <c r="D130" s="7">
        <v>62.63</v>
      </c>
      <c r="E130" s="1">
        <f t="shared" si="4"/>
        <v>4.3137908061292531</v>
      </c>
      <c r="F130" s="1">
        <f t="shared" si="5"/>
        <v>0.33643063120794753</v>
      </c>
      <c r="G130" s="1">
        <f t="shared" si="6"/>
        <v>-12.856546542368166</v>
      </c>
      <c r="H130" s="1">
        <f t="shared" si="7"/>
        <v>-10.490210090038584</v>
      </c>
      <c r="J130" s="9">
        <v>70</v>
      </c>
      <c r="K130">
        <f>COUNTIFS(Table1[WTI Close], "&gt;="&amp;J130, Table1[WTI Close], "&lt;"&amp;J131, Table1[Event Category], "Geopolitical Tension")</f>
        <v>39</v>
      </c>
    </row>
    <row r="131" spans="1:11">
      <c r="A131" s="8">
        <v>45757</v>
      </c>
      <c r="B131" s="4" t="s">
        <v>34</v>
      </c>
      <c r="C131" s="4"/>
      <c r="D131" s="7">
        <v>60.57</v>
      </c>
      <c r="E131" s="1">
        <f t="shared" si="4"/>
        <v>-3.2891585502155554</v>
      </c>
      <c r="F131" s="1">
        <f t="shared" si="5"/>
        <v>-0.7862407862407812</v>
      </c>
      <c r="G131" s="1">
        <f t="shared" si="6"/>
        <v>-15.416841223292835</v>
      </c>
      <c r="H131" s="1">
        <f t="shared" si="7"/>
        <v>-11.74413521783476</v>
      </c>
      <c r="J131" s="9">
        <v>75</v>
      </c>
      <c r="K131">
        <f>COUNTIFS(Table1[WTI Close], "&gt;="&amp;J131, Table1[WTI Close], "&lt;"&amp;J132, Table1[Event Category], "Geopolitical Tension")</f>
        <v>8</v>
      </c>
    </row>
    <row r="132" spans="1:11">
      <c r="A132" s="8">
        <v>45758</v>
      </c>
      <c r="B132" s="4" t="s">
        <v>34</v>
      </c>
      <c r="C132" s="4"/>
      <c r="D132" s="7">
        <v>61.91</v>
      </c>
      <c r="E132" s="1">
        <f t="shared" ref="E132:E195" si="8">(D132-D131)/D131 * 100</f>
        <v>2.212316328215282</v>
      </c>
      <c r="F132" s="1">
        <f t="shared" si="5"/>
        <v>3.1145902731512285</v>
      </c>
      <c r="G132" s="1">
        <f t="shared" si="6"/>
        <v>-14.15696062118692</v>
      </c>
      <c r="H132" s="1">
        <f t="shared" si="7"/>
        <v>-9.5808383233532961</v>
      </c>
      <c r="J132" s="9">
        <v>80</v>
      </c>
      <c r="K132">
        <f>COUNTIFS(Table1[WTI Close], "&gt;="&amp;J132, Table1[WTI Close], "&lt;"&amp;J133, Table1[Event Category], "Geopolitical Tension")</f>
        <v>1</v>
      </c>
    </row>
    <row r="133" spans="1:11">
      <c r="A133" s="8">
        <v>45761</v>
      </c>
      <c r="B133" s="4" t="s">
        <v>34</v>
      </c>
      <c r="C133" s="4"/>
      <c r="D133" s="7">
        <v>61.99</v>
      </c>
      <c r="E133" s="1">
        <f t="shared" si="8"/>
        <v>0.12921983524471881</v>
      </c>
      <c r="F133" s="1">
        <f t="shared" si="5"/>
        <v>-1.0218745010378423</v>
      </c>
      <c r="G133" s="1">
        <f t="shared" si="6"/>
        <v>-8.0676256858964912</v>
      </c>
      <c r="H133" s="1">
        <f t="shared" si="7"/>
        <v>-6.8939621507960291</v>
      </c>
      <c r="J133" s="9">
        <v>85</v>
      </c>
      <c r="K133">
        <f>COUNTIFS(Table1[WTI Close], "&gt;="&amp;J133, Table1[WTI Close], "&lt;"&amp;J134, Table1[Event Category], "Geopolitical Tension")</f>
        <v>0</v>
      </c>
    </row>
    <row r="134" spans="1:11">
      <c r="A134" s="8">
        <v>45762</v>
      </c>
      <c r="B134" s="4" t="s">
        <v>34</v>
      </c>
      <c r="C134" s="4"/>
      <c r="D134" s="7">
        <v>61.74</v>
      </c>
      <c r="E134" s="1">
        <f t="shared" si="8"/>
        <v>-0.40329085336344567</v>
      </c>
      <c r="F134" s="1">
        <f t="shared" ref="F134:F197" si="9">(D134-D131)/D131*100</f>
        <v>1.9316493313521574</v>
      </c>
      <c r="G134" s="1">
        <f t="shared" si="6"/>
        <v>-1.0893944248638252</v>
      </c>
      <c r="H134" s="1">
        <f t="shared" si="7"/>
        <v>-7.3251275893125216</v>
      </c>
      <c r="J134" s="9">
        <v>90</v>
      </c>
      <c r="K134">
        <f>COUNTIFS(Table1[WTI Close], "&gt;="&amp;J134, Table1[WTI Close], "&lt;"&amp;J135, Table1[Event Category], "Geopolitical Tension")</f>
        <v>0</v>
      </c>
    </row>
    <row r="135" spans="1:11">
      <c r="A135" s="8">
        <v>45763</v>
      </c>
      <c r="B135" s="4" t="s">
        <v>34</v>
      </c>
      <c r="C135" s="4"/>
      <c r="D135" s="7">
        <v>62.88</v>
      </c>
      <c r="E135" s="1">
        <f t="shared" si="8"/>
        <v>1.8464528668610309</v>
      </c>
      <c r="F135" s="1">
        <f t="shared" si="9"/>
        <v>1.5667905023421191</v>
      </c>
      <c r="G135" s="1">
        <f t="shared" si="6"/>
        <v>2.9975429975430066</v>
      </c>
      <c r="H135" s="1">
        <f t="shared" si="7"/>
        <v>-6.5537226928221184</v>
      </c>
      <c r="J135" s="9">
        <v>95</v>
      </c>
      <c r="K135">
        <f>COUNTIFS(Table1[WTI Close], "&gt;="&amp;J135, Table1[WTI Close], "&lt;"&amp;J136, Table1[Event Category], "Geopolitical Tension")</f>
        <v>0</v>
      </c>
    </row>
    <row r="136" spans="1:11">
      <c r="A136" s="8">
        <v>45764</v>
      </c>
      <c r="B136" s="4" t="s">
        <v>34</v>
      </c>
      <c r="C136" s="4"/>
      <c r="D136" s="7">
        <v>65.069999999999993</v>
      </c>
      <c r="E136" s="1">
        <f t="shared" si="8"/>
        <v>3.4828244274809008</v>
      </c>
      <c r="F136" s="1">
        <f t="shared" si="9"/>
        <v>4.9685433134376362</v>
      </c>
      <c r="G136" s="1">
        <f t="shared" si="6"/>
        <v>8.3777481678880648</v>
      </c>
      <c r="H136" s="1">
        <f t="shared" si="7"/>
        <v>-1.8700045242045076</v>
      </c>
      <c r="J136" s="9">
        <v>100</v>
      </c>
      <c r="K136">
        <f>COUNTIFS(Table1[WTI Close], "&gt;="&amp;J136, Table1[WTI Close], "&lt;"&amp;J137, Table1[Event Category], "Geopolitical Tension")</f>
        <v>0</v>
      </c>
    </row>
    <row r="137" spans="1:11">
      <c r="A137" s="8">
        <v>45768</v>
      </c>
      <c r="B137" s="4" t="s">
        <v>34</v>
      </c>
      <c r="C137" s="4"/>
      <c r="D137" s="7">
        <v>63.48</v>
      </c>
      <c r="E137" s="1">
        <f t="shared" si="8"/>
        <v>-2.4435223605348031</v>
      </c>
      <c r="F137" s="1">
        <f t="shared" si="9"/>
        <v>2.8182701652089324</v>
      </c>
      <c r="G137" s="1">
        <f t="shared" si="6"/>
        <v>1.3571770716908738</v>
      </c>
      <c r="H137" s="1">
        <f t="shared" si="7"/>
        <v>-4.5700541190619353</v>
      </c>
      <c r="J137" s="9">
        <v>105</v>
      </c>
      <c r="K137">
        <f>COUNTIFS(Table1[WTI Close], "&gt;="&amp;J137, Table1[WTI Close], "&lt;"&amp;J138, Table1[Event Category], "Geopolitical Tension")</f>
        <v>0</v>
      </c>
    </row>
    <row r="138" spans="1:11">
      <c r="A138" s="8">
        <v>45769</v>
      </c>
      <c r="B138" s="4" t="s">
        <v>34</v>
      </c>
      <c r="C138" s="4"/>
      <c r="D138" s="7">
        <v>64.599999999999994</v>
      </c>
      <c r="E138" s="1">
        <f t="shared" si="8"/>
        <v>1.7643352236924976</v>
      </c>
      <c r="F138" s="1">
        <f t="shared" si="9"/>
        <v>2.7353689567429891</v>
      </c>
      <c r="G138" s="1">
        <f t="shared" ref="G138:G201" si="10">(D138-D131)/D131*100</f>
        <v>6.6534588079907451</v>
      </c>
      <c r="H138" s="1">
        <f t="shared" si="7"/>
        <v>-4.5084996304508662</v>
      </c>
      <c r="J138" s="9">
        <v>110</v>
      </c>
      <c r="K138">
        <f>COUNTIFS(Table1[WTI Close], "&gt;="&amp;J138, Table1[WTI Close], "&lt;"&amp;J139, Table1[Event Category], "Geopolitical Tension")</f>
        <v>0</v>
      </c>
    </row>
    <row r="139" spans="1:11">
      <c r="A139" s="8">
        <v>45770</v>
      </c>
      <c r="B139" s="4" t="s">
        <v>34</v>
      </c>
      <c r="C139" s="4"/>
      <c r="D139" s="7">
        <v>62.64</v>
      </c>
      <c r="E139" s="1">
        <f t="shared" si="8"/>
        <v>-3.0340557275541702</v>
      </c>
      <c r="F139" s="1">
        <f t="shared" si="9"/>
        <v>-3.7344398340248852</v>
      </c>
      <c r="G139" s="1">
        <f t="shared" si="10"/>
        <v>1.1791309966079859</v>
      </c>
      <c r="H139" s="1">
        <f t="shared" si="7"/>
        <v>-6.2556120921879579</v>
      </c>
      <c r="J139" s="9">
        <v>115</v>
      </c>
      <c r="K139">
        <f>COUNTIFS(Table1[WTI Close], "&gt;="&amp;J139, Table1[WTI Close], "&lt;"&amp;J140, Table1[Event Category], "Geopolitical Tension")</f>
        <v>0</v>
      </c>
    </row>
    <row r="140" spans="1:11">
      <c r="A140" s="8">
        <v>45771</v>
      </c>
      <c r="B140" s="4" t="s">
        <v>34</v>
      </c>
      <c r="C140" s="4"/>
      <c r="D140" s="7">
        <v>63.55</v>
      </c>
      <c r="E140" s="1">
        <f t="shared" si="8"/>
        <v>1.452745849297568</v>
      </c>
      <c r="F140" s="1">
        <f t="shared" si="9"/>
        <v>0.1102709514807818</v>
      </c>
      <c r="G140" s="1">
        <f t="shared" si="10"/>
        <v>2.5165349249878934</v>
      </c>
      <c r="H140" s="1">
        <f t="shared" si="7"/>
        <v>-5.7541153789114778</v>
      </c>
      <c r="J140" t="s">
        <v>49</v>
      </c>
      <c r="K140">
        <f>SUM(K127:K139)</f>
        <v>97</v>
      </c>
    </row>
    <row r="141" spans="1:11">
      <c r="A141" s="8">
        <v>45772</v>
      </c>
      <c r="B141" s="4" t="s">
        <v>34</v>
      </c>
      <c r="C141" s="4"/>
      <c r="D141" s="7">
        <v>63.85</v>
      </c>
      <c r="E141" s="1">
        <f t="shared" si="8"/>
        <v>0.47206923682140722</v>
      </c>
      <c r="F141" s="1">
        <f t="shared" si="9"/>
        <v>-1.1609907120742926</v>
      </c>
      <c r="G141" s="1">
        <f t="shared" si="10"/>
        <v>3.4175574991901514</v>
      </c>
      <c r="H141" s="1">
        <f t="shared" si="7"/>
        <v>-5.8814858490566069</v>
      </c>
    </row>
    <row r="142" spans="1:11">
      <c r="A142" s="8">
        <v>45775</v>
      </c>
      <c r="B142" s="4" t="s">
        <v>34</v>
      </c>
      <c r="C142" s="4"/>
      <c r="D142" s="7">
        <v>63.3</v>
      </c>
      <c r="E142" s="1">
        <f t="shared" si="8"/>
        <v>-0.86139389193422755</v>
      </c>
      <c r="F142" s="1">
        <f t="shared" si="9"/>
        <v>1.0536398467432895</v>
      </c>
      <c r="G142" s="1">
        <f t="shared" si="10"/>
        <v>0.66793893129770132</v>
      </c>
      <c r="H142" s="1">
        <f t="shared" si="7"/>
        <v>-6.208327159579194</v>
      </c>
    </row>
    <row r="143" spans="1:11">
      <c r="A143" s="8">
        <v>45776</v>
      </c>
      <c r="B143" s="4" t="s">
        <v>34</v>
      </c>
      <c r="C143" s="4"/>
      <c r="D143" s="7">
        <v>61.84</v>
      </c>
      <c r="E143" s="1">
        <f t="shared" si="8"/>
        <v>-2.3064770932069414</v>
      </c>
      <c r="F143" s="1">
        <f t="shared" si="9"/>
        <v>-2.690794649881973</v>
      </c>
      <c r="G143" s="1">
        <f t="shared" si="10"/>
        <v>-4.9638850468725835</v>
      </c>
      <c r="H143" s="1">
        <f t="shared" si="7"/>
        <v>-8.2492581602373907</v>
      </c>
    </row>
    <row r="144" spans="1:11">
      <c r="A144" s="8">
        <v>45777</v>
      </c>
      <c r="B144" s="4" t="s">
        <v>34</v>
      </c>
      <c r="C144" s="4"/>
      <c r="D144" s="7">
        <v>59.55</v>
      </c>
      <c r="E144" s="1">
        <f t="shared" si="8"/>
        <v>-3.7031047865459348</v>
      </c>
      <c r="F144" s="1">
        <f t="shared" si="9"/>
        <v>-6.7345340642130065</v>
      </c>
      <c r="G144" s="1">
        <f t="shared" si="10"/>
        <v>-6.1909262759924388</v>
      </c>
      <c r="H144" s="1">
        <f t="shared" si="7"/>
        <v>-13.12910284463895</v>
      </c>
    </row>
    <row r="145" spans="1:8">
      <c r="A145" s="8">
        <v>45778</v>
      </c>
      <c r="B145" s="4" t="s">
        <v>34</v>
      </c>
      <c r="C145" s="4"/>
      <c r="D145" s="7">
        <v>60.59</v>
      </c>
      <c r="E145" s="1">
        <f t="shared" si="8"/>
        <v>1.7464315701091626</v>
      </c>
      <c r="F145" s="1">
        <f t="shared" si="9"/>
        <v>-4.2812006319115223</v>
      </c>
      <c r="G145" s="1">
        <f t="shared" si="10"/>
        <v>-6.2074303405572619</v>
      </c>
      <c r="H145" s="1">
        <f t="shared" si="7"/>
        <v>-11.573263280793919</v>
      </c>
    </row>
    <row r="146" spans="1:8">
      <c r="A146" s="8">
        <v>45779</v>
      </c>
      <c r="B146" s="4" t="s">
        <v>34</v>
      </c>
      <c r="C146" s="4"/>
      <c r="D146" s="7">
        <v>59.67</v>
      </c>
      <c r="E146" s="1">
        <f t="shared" si="8"/>
        <v>-1.5184023766298096</v>
      </c>
      <c r="F146" s="1">
        <f t="shared" si="9"/>
        <v>-3.5090556274256168</v>
      </c>
      <c r="G146" s="1">
        <f t="shared" si="10"/>
        <v>-4.7413793103448256</v>
      </c>
      <c r="H146" s="1">
        <f t="shared" si="7"/>
        <v>-14.094442844802755</v>
      </c>
    </row>
    <row r="147" spans="1:8">
      <c r="A147" s="8">
        <v>45782</v>
      </c>
      <c r="B147" s="4" t="s">
        <v>34</v>
      </c>
      <c r="C147" s="4"/>
      <c r="D147" s="7">
        <v>58.5</v>
      </c>
      <c r="E147" s="1">
        <f t="shared" si="8"/>
        <v>-1.960784313725493</v>
      </c>
      <c r="F147" s="1">
        <f t="shared" si="9"/>
        <v>-1.7632241813601968</v>
      </c>
      <c r="G147" s="1">
        <f t="shared" si="10"/>
        <v>-7.9464988198269042</v>
      </c>
      <c r="H147" s="1">
        <f t="shared" si="7"/>
        <v>-15.803108808290162</v>
      </c>
    </row>
    <row r="148" spans="1:8">
      <c r="A148" s="8">
        <v>45783</v>
      </c>
      <c r="B148" s="4" t="s">
        <v>34</v>
      </c>
      <c r="C148" s="4"/>
      <c r="D148" s="7">
        <v>60.42</v>
      </c>
      <c r="E148" s="1">
        <f t="shared" si="8"/>
        <v>3.2820512820512846</v>
      </c>
      <c r="F148" s="1">
        <f t="shared" si="9"/>
        <v>-0.28057435220333671</v>
      </c>
      <c r="G148" s="1">
        <f t="shared" si="10"/>
        <v>-5.3719655442443219</v>
      </c>
      <c r="H148" s="1">
        <f t="shared" si="7"/>
        <v>-13.747323340471084</v>
      </c>
    </row>
    <row r="149" spans="1:8">
      <c r="A149" s="8">
        <v>45784</v>
      </c>
      <c r="B149" s="4" t="s">
        <v>34</v>
      </c>
      <c r="C149" s="4"/>
      <c r="D149" s="7">
        <v>59.42</v>
      </c>
      <c r="E149" s="1">
        <f t="shared" si="8"/>
        <v>-1.6550810989738496</v>
      </c>
      <c r="F149" s="1">
        <f t="shared" si="9"/>
        <v>-0.41897100720630126</v>
      </c>
      <c r="G149" s="1">
        <f t="shared" si="10"/>
        <v>-6.1295418641390143</v>
      </c>
      <c r="H149" s="1">
        <f t="shared" si="7"/>
        <v>-15.47652916073968</v>
      </c>
    </row>
    <row r="150" spans="1:8">
      <c r="A150" s="8">
        <v>45785</v>
      </c>
      <c r="B150" s="4" t="s">
        <v>34</v>
      </c>
      <c r="C150" s="4"/>
      <c r="D150" s="7">
        <v>61.25</v>
      </c>
      <c r="E150" s="1">
        <f t="shared" si="8"/>
        <v>3.0797711208347329</v>
      </c>
      <c r="F150" s="1">
        <f t="shared" si="9"/>
        <v>4.700854700854701</v>
      </c>
      <c r="G150" s="1">
        <f t="shared" si="10"/>
        <v>-0.9540750323415319</v>
      </c>
      <c r="H150" s="1">
        <f t="shared" si="7"/>
        <v>-12.173788356753649</v>
      </c>
    </row>
    <row r="151" spans="1:8">
      <c r="A151" s="8">
        <v>45786</v>
      </c>
      <c r="B151" s="4" t="s">
        <v>34</v>
      </c>
      <c r="C151" s="4"/>
      <c r="D151" s="7">
        <v>62.37</v>
      </c>
      <c r="E151" s="1">
        <f t="shared" si="8"/>
        <v>1.8285714285714245</v>
      </c>
      <c r="F151" s="1">
        <f t="shared" si="9"/>
        <v>3.2274081429989998</v>
      </c>
      <c r="G151" s="1">
        <f t="shared" si="10"/>
        <v>4.7355163727959706</v>
      </c>
      <c r="H151" s="1">
        <f t="shared" si="7"/>
        <v>-13.218310839014896</v>
      </c>
    </row>
    <row r="152" spans="1:8">
      <c r="A152" s="8">
        <v>45789</v>
      </c>
      <c r="B152" s="4" t="s">
        <v>34</v>
      </c>
      <c r="C152" s="4"/>
      <c r="D152" s="7">
        <v>63.32</v>
      </c>
      <c r="E152" s="1">
        <f t="shared" si="8"/>
        <v>1.523168189834861</v>
      </c>
      <c r="F152" s="1">
        <f t="shared" si="9"/>
        <v>6.5634466509592704</v>
      </c>
      <c r="G152" s="1">
        <f t="shared" si="10"/>
        <v>4.5056940089123563</v>
      </c>
      <c r="H152" s="1">
        <f t="shared" si="7"/>
        <v>-11.576595447563189</v>
      </c>
    </row>
    <row r="153" spans="1:8">
      <c r="A153" s="8">
        <v>45790</v>
      </c>
      <c r="B153" s="4" t="s">
        <v>34</v>
      </c>
      <c r="C153" s="4"/>
      <c r="D153" s="7">
        <v>65.040000000000006</v>
      </c>
      <c r="E153" s="1">
        <f t="shared" si="8"/>
        <v>2.7163613392293207</v>
      </c>
      <c r="F153" s="1">
        <f t="shared" si="9"/>
        <v>6.1877551020408266</v>
      </c>
      <c r="G153" s="1">
        <f t="shared" si="10"/>
        <v>8.9994972347913595</v>
      </c>
      <c r="H153" s="1">
        <f t="shared" si="7"/>
        <v>-9.8169717138103127</v>
      </c>
    </row>
    <row r="154" spans="1:8">
      <c r="A154" s="8">
        <v>45791</v>
      </c>
      <c r="B154" s="4" t="s">
        <v>34</v>
      </c>
      <c r="C154" s="4"/>
      <c r="D154" s="7">
        <v>64.48</v>
      </c>
      <c r="E154" s="1">
        <f t="shared" si="8"/>
        <v>-0.8610086100861043</v>
      </c>
      <c r="F154" s="1">
        <f t="shared" si="9"/>
        <v>3.3830367163700603</v>
      </c>
      <c r="G154" s="1">
        <f t="shared" si="10"/>
        <v>10.222222222222229</v>
      </c>
      <c r="H154" s="1">
        <f t="shared" si="7"/>
        <v>-4.3749073112857815</v>
      </c>
    </row>
    <row r="155" spans="1:8">
      <c r="A155" s="8">
        <v>45792</v>
      </c>
      <c r="B155" s="4" t="s">
        <v>34</v>
      </c>
      <c r="C155" s="4"/>
      <c r="D155" s="7">
        <v>63.03</v>
      </c>
      <c r="E155" s="1">
        <f t="shared" si="8"/>
        <v>-2.2487593052109225</v>
      </c>
      <c r="F155" s="1">
        <f t="shared" si="9"/>
        <v>-0.45799115603284768</v>
      </c>
      <c r="G155" s="1">
        <f t="shared" si="10"/>
        <v>4.319761668321747</v>
      </c>
      <c r="H155" s="1">
        <f t="shared" si="7"/>
        <v>0.97725088112784275</v>
      </c>
    </row>
    <row r="156" spans="1:8">
      <c r="A156" s="8">
        <v>45793</v>
      </c>
      <c r="B156" s="4" t="s">
        <v>34</v>
      </c>
      <c r="C156" s="4"/>
      <c r="D156" s="7">
        <v>63.84</v>
      </c>
      <c r="E156" s="1">
        <f t="shared" si="8"/>
        <v>1.2851023322227546</v>
      </c>
      <c r="F156" s="1">
        <f t="shared" si="9"/>
        <v>-1.8450184501845059</v>
      </c>
      <c r="G156" s="1">
        <f t="shared" si="10"/>
        <v>7.438572871087179</v>
      </c>
      <c r="H156" s="1">
        <f t="shared" si="7"/>
        <v>4.5700245700245805</v>
      </c>
    </row>
    <row r="157" spans="1:8">
      <c r="A157" s="8">
        <v>45796</v>
      </c>
      <c r="B157" s="4" t="s">
        <v>34</v>
      </c>
      <c r="C157" s="4"/>
      <c r="D157" s="7">
        <v>63.98</v>
      </c>
      <c r="E157" s="1">
        <f t="shared" si="8"/>
        <v>0.21929824561402483</v>
      </c>
      <c r="F157" s="1">
        <f t="shared" si="9"/>
        <v>-0.77543424317618959</v>
      </c>
      <c r="G157" s="1">
        <f t="shared" si="10"/>
        <v>4.457142857142852</v>
      </c>
      <c r="H157" s="1">
        <f t="shared" si="7"/>
        <v>6.5622918054630208</v>
      </c>
    </row>
    <row r="158" spans="1:8">
      <c r="A158" s="8">
        <v>45797</v>
      </c>
      <c r="B158" s="4" t="s">
        <v>34</v>
      </c>
      <c r="C158" s="4"/>
      <c r="D158" s="7">
        <v>63.97</v>
      </c>
      <c r="E158" s="1">
        <f t="shared" si="8"/>
        <v>-1.5629884338852783E-2</v>
      </c>
      <c r="F158" s="1">
        <f t="shared" si="9"/>
        <v>1.4913533238140531</v>
      </c>
      <c r="G158" s="1">
        <f t="shared" si="10"/>
        <v>2.5653358986692343</v>
      </c>
      <c r="H158" s="1">
        <f t="shared" si="7"/>
        <v>2.1395497365479743</v>
      </c>
    </row>
    <row r="159" spans="1:8">
      <c r="A159" s="8">
        <v>45798</v>
      </c>
      <c r="B159" s="4" t="s">
        <v>34</v>
      </c>
      <c r="C159" s="4"/>
      <c r="D159" s="7">
        <v>62.93</v>
      </c>
      <c r="E159" s="1">
        <f t="shared" si="8"/>
        <v>-1.6257620759731113</v>
      </c>
      <c r="F159" s="1">
        <f t="shared" si="9"/>
        <v>-1.4254385964912337</v>
      </c>
      <c r="G159" s="1">
        <f t="shared" si="10"/>
        <v>-0.61591914087176336</v>
      </c>
      <c r="H159" s="1">
        <f t="shared" ref="H159:H222" si="11">(D159-D131)/D131*100</f>
        <v>3.896318309394089</v>
      </c>
    </row>
    <row r="160" spans="1:8">
      <c r="A160" s="8">
        <v>45799</v>
      </c>
      <c r="B160" s="4" t="s">
        <v>34</v>
      </c>
      <c r="C160" s="4"/>
      <c r="D160" s="7">
        <v>62.55</v>
      </c>
      <c r="E160" s="1">
        <f t="shared" si="8"/>
        <v>-0.60384554266645885</v>
      </c>
      <c r="F160" s="1">
        <f t="shared" si="9"/>
        <v>-2.2350734604563924</v>
      </c>
      <c r="G160" s="1">
        <f t="shared" si="10"/>
        <v>-3.8284132841328549</v>
      </c>
      <c r="H160" s="1">
        <f t="shared" si="11"/>
        <v>1.0337586819576816</v>
      </c>
    </row>
    <row r="161" spans="1:8">
      <c r="A161" s="8">
        <v>45800</v>
      </c>
      <c r="B161" s="4" t="s">
        <v>34</v>
      </c>
      <c r="C161" s="4"/>
      <c r="D161" s="7">
        <v>62.89</v>
      </c>
      <c r="E161" s="1">
        <f t="shared" si="8"/>
        <v>0.54356514788170018</v>
      </c>
      <c r="F161" s="1">
        <f t="shared" si="9"/>
        <v>-1.6882913865874605</v>
      </c>
      <c r="G161" s="1">
        <f t="shared" si="10"/>
        <v>-2.4658808933002532</v>
      </c>
      <c r="H161" s="1">
        <f t="shared" si="11"/>
        <v>1.4518470721084022</v>
      </c>
    </row>
    <row r="162" spans="1:8">
      <c r="A162" s="8">
        <v>45804</v>
      </c>
      <c r="B162" s="4" t="s">
        <v>34</v>
      </c>
      <c r="C162" s="4"/>
      <c r="D162" s="7">
        <v>61.61</v>
      </c>
      <c r="E162" s="1">
        <f t="shared" si="8"/>
        <v>-2.0352997296867561</v>
      </c>
      <c r="F162" s="1">
        <f t="shared" si="9"/>
        <v>-2.0975687271571593</v>
      </c>
      <c r="G162" s="1">
        <f t="shared" si="10"/>
        <v>-2.2528954466127269</v>
      </c>
      <c r="H162" s="1">
        <f t="shared" si="11"/>
        <v>-0.21056041464205141</v>
      </c>
    </row>
    <row r="163" spans="1:8">
      <c r="A163" s="8">
        <v>45805</v>
      </c>
      <c r="B163" s="4" t="s">
        <v>34</v>
      </c>
      <c r="C163" s="4"/>
      <c r="D163" s="7">
        <v>62.54</v>
      </c>
      <c r="E163" s="1">
        <f t="shared" si="8"/>
        <v>1.509495211816263</v>
      </c>
      <c r="F163" s="1">
        <f t="shared" si="9"/>
        <v>-1.5987210231811367E-2</v>
      </c>
      <c r="G163" s="1">
        <f t="shared" si="10"/>
        <v>-2.0363408521303321</v>
      </c>
      <c r="H163" s="1">
        <f t="shared" si="11"/>
        <v>-0.54071246819338969</v>
      </c>
    </row>
    <row r="164" spans="1:8">
      <c r="A164" s="8">
        <v>45806</v>
      </c>
      <c r="B164" s="4" t="s">
        <v>34</v>
      </c>
      <c r="C164" s="4"/>
      <c r="D164" s="7">
        <v>61.66</v>
      </c>
      <c r="E164" s="1">
        <f t="shared" si="8"/>
        <v>-1.4070994563479413</v>
      </c>
      <c r="F164" s="1">
        <f t="shared" si="9"/>
        <v>-1.9557958339958721</v>
      </c>
      <c r="G164" s="1">
        <f t="shared" si="10"/>
        <v>-3.6261331666145673</v>
      </c>
      <c r="H164" s="1">
        <f t="shared" si="11"/>
        <v>-5.2405102197633271</v>
      </c>
    </row>
    <row r="165" spans="1:8">
      <c r="A165" s="8">
        <v>45807</v>
      </c>
      <c r="B165" s="4" t="s">
        <v>34</v>
      </c>
      <c r="C165" s="4"/>
      <c r="D165" s="7">
        <v>61.46</v>
      </c>
      <c r="E165" s="1">
        <f t="shared" si="8"/>
        <v>-0.32435939020433951</v>
      </c>
      <c r="F165" s="1">
        <f t="shared" si="9"/>
        <v>-0.24346696964778217</v>
      </c>
      <c r="G165" s="1">
        <f t="shared" si="10"/>
        <v>-3.9237142410504897</v>
      </c>
      <c r="H165" s="1">
        <f t="shared" si="11"/>
        <v>-3.1821045998739703</v>
      </c>
    </row>
    <row r="166" spans="1:8">
      <c r="A166" s="8">
        <v>45810</v>
      </c>
      <c r="B166" s="4" t="s">
        <v>34</v>
      </c>
      <c r="C166" s="4"/>
      <c r="D166" s="7">
        <v>63.27</v>
      </c>
      <c r="E166" s="1">
        <f t="shared" si="8"/>
        <v>2.9450048812235634</v>
      </c>
      <c r="F166" s="1">
        <f t="shared" si="9"/>
        <v>1.1672529581068181</v>
      </c>
      <c r="G166" s="1">
        <f t="shared" si="10"/>
        <v>0.54028285396472808</v>
      </c>
      <c r="H166" s="1">
        <f t="shared" si="11"/>
        <v>-2.0588235294117512</v>
      </c>
    </row>
    <row r="167" spans="1:8">
      <c r="A167" s="8">
        <v>45811</v>
      </c>
      <c r="B167" s="4" t="s">
        <v>34</v>
      </c>
      <c r="C167" s="4"/>
      <c r="D167" s="7">
        <v>64.099999999999994</v>
      </c>
      <c r="E167" s="1">
        <f t="shared" si="8"/>
        <v>1.311838153943403</v>
      </c>
      <c r="F167" s="1">
        <f t="shared" si="9"/>
        <v>3.9571845604930225</v>
      </c>
      <c r="G167" s="1">
        <f t="shared" si="10"/>
        <v>2.4780175859312505</v>
      </c>
      <c r="H167" s="1">
        <f t="shared" si="11"/>
        <v>2.330779054916976</v>
      </c>
    </row>
    <row r="168" spans="1:8">
      <c r="A168" s="8">
        <v>45812</v>
      </c>
      <c r="B168" s="4" t="s">
        <v>34</v>
      </c>
      <c r="C168" s="4"/>
      <c r="D168" s="7">
        <v>63.57</v>
      </c>
      <c r="E168" s="1">
        <f t="shared" si="8"/>
        <v>-0.82683307332292366</v>
      </c>
      <c r="F168" s="1">
        <f t="shared" si="9"/>
        <v>3.4331272372274637</v>
      </c>
      <c r="G168" s="1">
        <f t="shared" si="10"/>
        <v>1.0812529813960878</v>
      </c>
      <c r="H168" s="1">
        <f t="shared" si="11"/>
        <v>3.1471282454764951E-2</v>
      </c>
    </row>
    <row r="169" spans="1:8">
      <c r="A169" s="8">
        <v>45813</v>
      </c>
      <c r="B169" s="4" t="s">
        <v>34</v>
      </c>
      <c r="C169" s="4"/>
      <c r="D169" s="7">
        <v>64.06</v>
      </c>
      <c r="E169" s="1">
        <f t="shared" si="8"/>
        <v>0.77080383828850396</v>
      </c>
      <c r="F169" s="1">
        <f t="shared" si="9"/>
        <v>1.2486170380907209</v>
      </c>
      <c r="G169" s="1">
        <f t="shared" si="10"/>
        <v>3.976627170913817</v>
      </c>
      <c r="H169" s="1">
        <f t="shared" si="11"/>
        <v>0.32889584964761293</v>
      </c>
    </row>
    <row r="170" spans="1:8">
      <c r="A170" s="8">
        <v>45814</v>
      </c>
      <c r="B170" s="4" t="s">
        <v>34</v>
      </c>
      <c r="C170" s="4"/>
      <c r="D170" s="7">
        <v>65.3</v>
      </c>
      <c r="E170" s="1">
        <f t="shared" si="8"/>
        <v>1.9356852950358958</v>
      </c>
      <c r="F170" s="1">
        <f t="shared" si="9"/>
        <v>1.8720748829953244</v>
      </c>
      <c r="G170" s="1">
        <f t="shared" si="10"/>
        <v>4.4131755676367099</v>
      </c>
      <c r="H170" s="1">
        <f t="shared" si="11"/>
        <v>3.1595576619273307</v>
      </c>
    </row>
    <row r="171" spans="1:8">
      <c r="A171" s="8">
        <v>45817</v>
      </c>
      <c r="B171" s="4" t="s">
        <v>34</v>
      </c>
      <c r="C171" s="4"/>
      <c r="D171" s="7">
        <v>65.989999999999995</v>
      </c>
      <c r="E171" s="1">
        <f t="shared" si="8"/>
        <v>1.0566615620214361</v>
      </c>
      <c r="F171" s="1">
        <f t="shared" si="9"/>
        <v>3.8068271197105465</v>
      </c>
      <c r="G171" s="1">
        <f t="shared" si="10"/>
        <v>7.0223807979240975</v>
      </c>
      <c r="H171" s="1">
        <f t="shared" si="11"/>
        <v>6.7108667529107224</v>
      </c>
    </row>
    <row r="172" spans="1:8">
      <c r="A172" s="8">
        <v>45818</v>
      </c>
      <c r="B172" s="4" t="s">
        <v>34</v>
      </c>
      <c r="C172" s="4"/>
      <c r="D172" s="7">
        <v>65.66</v>
      </c>
      <c r="E172" s="1">
        <f t="shared" si="8"/>
        <v>-0.500075769055915</v>
      </c>
      <c r="F172" s="1">
        <f t="shared" si="9"/>
        <v>2.4976584452076089</v>
      </c>
      <c r="G172" s="1">
        <f t="shared" si="10"/>
        <v>6.8337129840546629</v>
      </c>
      <c r="H172" s="1">
        <f t="shared" si="11"/>
        <v>10.260285474391267</v>
      </c>
    </row>
    <row r="173" spans="1:8">
      <c r="A173" s="8">
        <v>45819</v>
      </c>
      <c r="B173" s="4" t="s">
        <v>34</v>
      </c>
      <c r="C173" s="4"/>
      <c r="D173" s="7">
        <v>68.91</v>
      </c>
      <c r="E173" s="1">
        <f t="shared" si="8"/>
        <v>4.9497410904660377</v>
      </c>
      <c r="F173" s="1">
        <f t="shared" si="9"/>
        <v>5.5283307810107196</v>
      </c>
      <c r="G173" s="1">
        <f t="shared" si="10"/>
        <v>8.9141773352299563</v>
      </c>
      <c r="H173" s="1">
        <f t="shared" si="11"/>
        <v>13.731638884304328</v>
      </c>
    </row>
    <row r="174" spans="1:8">
      <c r="A174" s="8">
        <v>45820</v>
      </c>
      <c r="B174" s="4" t="s">
        <v>34</v>
      </c>
      <c r="C174" s="4"/>
      <c r="D174" s="7">
        <v>68.73</v>
      </c>
      <c r="E174" s="1">
        <f t="shared" si="8"/>
        <v>-0.26121027427077725</v>
      </c>
      <c r="F174" s="1">
        <f t="shared" si="9"/>
        <v>4.1521442642824811</v>
      </c>
      <c r="G174" s="1">
        <f t="shared" si="10"/>
        <v>7.2230889235569586</v>
      </c>
      <c r="H174" s="1">
        <f t="shared" si="11"/>
        <v>15.183509301156365</v>
      </c>
    </row>
    <row r="175" spans="1:8">
      <c r="A175" s="8">
        <v>45821</v>
      </c>
      <c r="B175" s="4" t="s">
        <v>10</v>
      </c>
      <c r="C175" s="4" t="s">
        <v>12</v>
      </c>
      <c r="D175" s="7">
        <v>73.84</v>
      </c>
      <c r="E175" s="1">
        <f t="shared" si="8"/>
        <v>7.4348901498617765</v>
      </c>
      <c r="F175" s="1">
        <f t="shared" si="9"/>
        <v>12.458117575388375</v>
      </c>
      <c r="G175" s="1">
        <f t="shared" si="10"/>
        <v>16.155419222903891</v>
      </c>
      <c r="H175" s="1">
        <f t="shared" si="11"/>
        <v>26.222222222222229</v>
      </c>
    </row>
    <row r="176" spans="1:8">
      <c r="A176" s="8">
        <v>45824</v>
      </c>
      <c r="B176" s="4" t="s">
        <v>10</v>
      </c>
      <c r="C176" s="4"/>
      <c r="D176" s="7">
        <v>72.53</v>
      </c>
      <c r="E176" s="1">
        <f t="shared" si="8"/>
        <v>-1.7741061755146292</v>
      </c>
      <c r="F176" s="1">
        <f t="shared" si="9"/>
        <v>5.2532288492236319</v>
      </c>
      <c r="G176" s="1">
        <f t="shared" si="10"/>
        <v>13.221979394317826</v>
      </c>
      <c r="H176" s="1">
        <f t="shared" si="11"/>
        <v>20.043032108573318</v>
      </c>
    </row>
    <row r="177" spans="1:8">
      <c r="A177" s="8">
        <v>45825</v>
      </c>
      <c r="B177" s="4" t="s">
        <v>10</v>
      </c>
      <c r="C177" s="4"/>
      <c r="D177" s="7">
        <v>75.62</v>
      </c>
      <c r="E177" s="1">
        <f t="shared" si="8"/>
        <v>4.2603060802426631</v>
      </c>
      <c r="F177" s="1">
        <f t="shared" si="9"/>
        <v>10.024734468208933</v>
      </c>
      <c r="G177" s="1">
        <f t="shared" si="10"/>
        <v>15.803981623277194</v>
      </c>
      <c r="H177" s="1">
        <f t="shared" si="11"/>
        <v>27.263547627061602</v>
      </c>
    </row>
    <row r="178" spans="1:8">
      <c r="A178" s="8">
        <v>45826</v>
      </c>
      <c r="B178" s="4" t="s">
        <v>10</v>
      </c>
      <c r="C178" s="4"/>
      <c r="D178" s="7">
        <v>75.89</v>
      </c>
      <c r="E178" s="1">
        <f t="shared" si="8"/>
        <v>0.35704839989420262</v>
      </c>
      <c r="F178" s="1">
        <f t="shared" si="9"/>
        <v>2.7762730227518921</v>
      </c>
      <c r="G178" s="1">
        <f t="shared" si="10"/>
        <v>15.002273071677536</v>
      </c>
      <c r="H178" s="1">
        <f t="shared" si="11"/>
        <v>23.902040816326529</v>
      </c>
    </row>
    <row r="179" spans="1:8">
      <c r="A179" s="8">
        <v>45828</v>
      </c>
      <c r="B179" s="4" t="s">
        <v>10</v>
      </c>
      <c r="C179" s="4"/>
      <c r="D179" s="7">
        <v>75.72</v>
      </c>
      <c r="E179" s="1">
        <f t="shared" si="8"/>
        <v>-0.22400843325866612</v>
      </c>
      <c r="F179" s="1">
        <f t="shared" si="9"/>
        <v>4.3981800634220285</v>
      </c>
      <c r="G179" s="1">
        <f t="shared" si="10"/>
        <v>15.321352421565646</v>
      </c>
      <c r="H179" s="1">
        <f t="shared" si="11"/>
        <v>21.404521404521407</v>
      </c>
    </row>
    <row r="180" spans="1:8">
      <c r="A180" s="8">
        <v>45831</v>
      </c>
      <c r="B180" s="4" t="s">
        <v>10</v>
      </c>
      <c r="C180" s="4" t="s">
        <v>22</v>
      </c>
      <c r="D180" s="7">
        <v>69.36</v>
      </c>
      <c r="E180" s="1">
        <f t="shared" si="8"/>
        <v>-8.3993660855784462</v>
      </c>
      <c r="F180" s="1">
        <f t="shared" si="9"/>
        <v>-8.2782332716212697</v>
      </c>
      <c r="G180" s="1">
        <f t="shared" si="10"/>
        <v>0.65302568567697405</v>
      </c>
      <c r="H180" s="1">
        <f t="shared" si="11"/>
        <v>9.5388502842703708</v>
      </c>
    </row>
    <row r="181" spans="1:8">
      <c r="A181" s="8">
        <v>45832</v>
      </c>
      <c r="B181" s="4" t="s">
        <v>11</v>
      </c>
      <c r="C181" s="4" t="s">
        <v>23</v>
      </c>
      <c r="D181" s="7">
        <v>65.45</v>
      </c>
      <c r="E181" s="1">
        <f t="shared" si="8"/>
        <v>-5.6372549019607794</v>
      </c>
      <c r="F181" s="1">
        <f t="shared" si="9"/>
        <v>-13.756753195414412</v>
      </c>
      <c r="G181" s="1">
        <f t="shared" si="10"/>
        <v>-4.772297395605996</v>
      </c>
      <c r="H181" s="1">
        <f t="shared" si="11"/>
        <v>0.63038130381303281</v>
      </c>
    </row>
    <row r="182" spans="1:8">
      <c r="A182" s="8">
        <v>45833</v>
      </c>
      <c r="B182" s="4" t="s">
        <v>11</v>
      </c>
      <c r="C182" s="4"/>
      <c r="D182" s="7">
        <v>65.98</v>
      </c>
      <c r="E182" s="1">
        <f t="shared" si="8"/>
        <v>0.80977845683728211</v>
      </c>
      <c r="F182" s="1">
        <f t="shared" si="9"/>
        <v>-12.863180137348118</v>
      </c>
      <c r="G182" s="1">
        <f t="shared" si="10"/>
        <v>-10.644637053087756</v>
      </c>
      <c r="H182" s="1">
        <f t="shared" si="11"/>
        <v>2.3263027295285359</v>
      </c>
    </row>
    <row r="183" spans="1:8">
      <c r="A183" s="8">
        <v>45834</v>
      </c>
      <c r="B183" s="4" t="s">
        <v>11</v>
      </c>
      <c r="C183" s="4"/>
      <c r="D183" s="7">
        <v>66.44</v>
      </c>
      <c r="E183" s="1">
        <f t="shared" si="8"/>
        <v>0.69718096392845363</v>
      </c>
      <c r="F183" s="1">
        <f t="shared" si="9"/>
        <v>-4.2099192618223782</v>
      </c>
      <c r="G183" s="1">
        <f t="shared" si="10"/>
        <v>-8.3965255756238832</v>
      </c>
      <c r="H183" s="1">
        <f t="shared" si="11"/>
        <v>5.4101221640488601</v>
      </c>
    </row>
    <row r="184" spans="1:8">
      <c r="A184" s="8">
        <v>45835</v>
      </c>
      <c r="B184" s="4" t="s">
        <v>11</v>
      </c>
      <c r="C184" s="4"/>
      <c r="D184" s="7">
        <v>66.66</v>
      </c>
      <c r="E184" s="1">
        <f t="shared" si="8"/>
        <v>0.33112582781456784</v>
      </c>
      <c r="F184" s="1">
        <f t="shared" si="9"/>
        <v>1.8487394957983097</v>
      </c>
      <c r="G184" s="1">
        <f t="shared" si="10"/>
        <v>-11.848717270563352</v>
      </c>
      <c r="H184" s="1">
        <f t="shared" si="11"/>
        <v>4.4172932330826962</v>
      </c>
    </row>
    <row r="185" spans="1:8">
      <c r="A185" s="8">
        <v>45838</v>
      </c>
      <c r="B185" s="4" t="s">
        <v>11</v>
      </c>
      <c r="C185" s="4"/>
      <c r="D185" s="7">
        <v>66.3</v>
      </c>
      <c r="E185" s="1">
        <f t="shared" si="8"/>
        <v>-0.54005400540053927</v>
      </c>
      <c r="F185" s="1">
        <f t="shared" si="9"/>
        <v>0.48499545316761616</v>
      </c>
      <c r="G185" s="1">
        <f t="shared" si="10"/>
        <v>-12.6367110291211</v>
      </c>
      <c r="H185" s="1">
        <f t="shared" si="11"/>
        <v>3.6261331666145673</v>
      </c>
    </row>
    <row r="186" spans="1:8">
      <c r="A186" s="8">
        <v>45839</v>
      </c>
      <c r="B186" s="4" t="s">
        <v>11</v>
      </c>
      <c r="C186" s="4"/>
      <c r="D186" s="7">
        <v>66.64</v>
      </c>
      <c r="E186" s="1">
        <f t="shared" si="8"/>
        <v>0.51282051282051799</v>
      </c>
      <c r="F186" s="1">
        <f t="shared" si="9"/>
        <v>0.30102347983143113</v>
      </c>
      <c r="G186" s="1">
        <f t="shared" si="10"/>
        <v>-11.991547807712623</v>
      </c>
      <c r="H186" s="1">
        <f t="shared" si="11"/>
        <v>4.1738314835078967</v>
      </c>
    </row>
    <row r="187" spans="1:8">
      <c r="A187" s="8">
        <v>45840</v>
      </c>
      <c r="B187" s="4" t="s">
        <v>11</v>
      </c>
      <c r="C187" s="4"/>
      <c r="D187" s="7">
        <v>68.66</v>
      </c>
      <c r="E187" s="1">
        <f t="shared" si="8"/>
        <v>3.0312124849939917</v>
      </c>
      <c r="F187" s="1">
        <f t="shared" si="9"/>
        <v>3.0003000300030007</v>
      </c>
      <c r="G187" s="1">
        <f t="shared" si="10"/>
        <v>-1.0092272202998889</v>
      </c>
      <c r="H187" s="1">
        <f t="shared" si="11"/>
        <v>9.1053551565231157</v>
      </c>
    </row>
    <row r="188" spans="1:8">
      <c r="A188" s="8">
        <v>45841</v>
      </c>
      <c r="B188" s="4" t="s">
        <v>11</v>
      </c>
      <c r="C188" s="4"/>
      <c r="D188" s="7">
        <v>68.13</v>
      </c>
      <c r="E188" s="1">
        <f t="shared" si="8"/>
        <v>-0.77191960384503511</v>
      </c>
      <c r="F188" s="1">
        <f t="shared" si="9"/>
        <v>2.7601809954751104</v>
      </c>
      <c r="G188" s="1">
        <f t="shared" si="10"/>
        <v>4.0947288006111426</v>
      </c>
      <c r="H188" s="1">
        <f t="shared" si="11"/>
        <v>8.9208633093525158</v>
      </c>
    </row>
    <row r="189" spans="1:8">
      <c r="A189" s="8">
        <v>45845</v>
      </c>
      <c r="B189" s="4" t="s">
        <v>11</v>
      </c>
      <c r="C189" s="4"/>
      <c r="D189" s="7">
        <v>69.16</v>
      </c>
      <c r="E189" s="1">
        <f t="shared" si="8"/>
        <v>1.5118156465580526</v>
      </c>
      <c r="F189" s="1">
        <f t="shared" si="9"/>
        <v>3.7815126050420109</v>
      </c>
      <c r="G189" s="1">
        <f t="shared" si="10"/>
        <v>4.8196423158532768</v>
      </c>
      <c r="H189" s="1">
        <f t="shared" si="11"/>
        <v>9.969788519637456</v>
      </c>
    </row>
    <row r="190" spans="1:8">
      <c r="A190" s="8">
        <v>45846</v>
      </c>
      <c r="B190" s="4" t="s">
        <v>11</v>
      </c>
      <c r="C190" s="4"/>
      <c r="D190" s="7">
        <v>69.55</v>
      </c>
      <c r="E190" s="1">
        <f t="shared" si="8"/>
        <v>0.56390977443609103</v>
      </c>
      <c r="F190" s="1">
        <f t="shared" si="9"/>
        <v>1.2962423536265666</v>
      </c>
      <c r="G190" s="1">
        <f t="shared" si="10"/>
        <v>4.6809151113786873</v>
      </c>
      <c r="H190" s="1">
        <f t="shared" si="11"/>
        <v>12.88751826002272</v>
      </c>
    </row>
    <row r="191" spans="1:8">
      <c r="A191" s="8">
        <v>45847</v>
      </c>
      <c r="B191" s="4" t="s">
        <v>11</v>
      </c>
      <c r="C191" s="4"/>
      <c r="D191" s="7">
        <v>69.61</v>
      </c>
      <c r="E191" s="1">
        <f t="shared" si="8"/>
        <v>8.6268871315603568E-2</v>
      </c>
      <c r="F191" s="1">
        <f t="shared" si="9"/>
        <v>2.1723176280640013</v>
      </c>
      <c r="G191" s="1">
        <f t="shared" si="10"/>
        <v>4.4254425442544303</v>
      </c>
      <c r="H191" s="1">
        <f t="shared" si="11"/>
        <v>11.304764950431725</v>
      </c>
    </row>
    <row r="192" spans="1:8">
      <c r="A192" s="8">
        <v>45848</v>
      </c>
      <c r="B192" s="4" t="s">
        <v>11</v>
      </c>
      <c r="C192" s="4"/>
      <c r="D192" s="7">
        <v>67.78</v>
      </c>
      <c r="E192" s="1">
        <f t="shared" si="8"/>
        <v>-2.6289326246228968</v>
      </c>
      <c r="F192" s="1">
        <f t="shared" si="9"/>
        <v>-1.9953730480046203</v>
      </c>
      <c r="G192" s="1">
        <f t="shared" si="10"/>
        <v>2.2322775263951793</v>
      </c>
      <c r="H192" s="1">
        <f t="shared" si="11"/>
        <v>9.9253973402530082</v>
      </c>
    </row>
    <row r="193" spans="1:8">
      <c r="A193" s="8">
        <v>45849</v>
      </c>
      <c r="B193" s="4" t="s">
        <v>11</v>
      </c>
      <c r="C193" s="4"/>
      <c r="D193" s="7">
        <v>69.63</v>
      </c>
      <c r="E193" s="1">
        <f t="shared" si="8"/>
        <v>2.7294187075833491</v>
      </c>
      <c r="F193" s="1">
        <f t="shared" si="9"/>
        <v>0.11502516175413127</v>
      </c>
      <c r="G193" s="1">
        <f t="shared" si="10"/>
        <v>4.4867947178871468</v>
      </c>
      <c r="H193" s="1">
        <f t="shared" si="11"/>
        <v>13.293198828506336</v>
      </c>
    </row>
    <row r="194" spans="1:8">
      <c r="A194" s="8">
        <v>45852</v>
      </c>
      <c r="B194" s="4" t="s">
        <v>11</v>
      </c>
      <c r="C194" s="4"/>
      <c r="D194" s="7">
        <v>68.19</v>
      </c>
      <c r="E194" s="1">
        <f t="shared" si="8"/>
        <v>-2.0680741059887948</v>
      </c>
      <c r="F194" s="1">
        <f t="shared" si="9"/>
        <v>-2.0399367906909953</v>
      </c>
      <c r="G194" s="1">
        <f t="shared" si="10"/>
        <v>-0.6845324788814432</v>
      </c>
      <c r="H194" s="1">
        <f t="shared" si="11"/>
        <v>7.7761972498814513</v>
      </c>
    </row>
    <row r="195" spans="1:8">
      <c r="A195" s="8">
        <v>45853</v>
      </c>
      <c r="B195" s="4" t="s">
        <v>11</v>
      </c>
      <c r="C195" s="4"/>
      <c r="D195" s="7">
        <v>67.760000000000005</v>
      </c>
      <c r="E195" s="1">
        <f t="shared" si="8"/>
        <v>-0.63059099574716615</v>
      </c>
      <c r="F195" s="1">
        <f t="shared" si="9"/>
        <v>-2.9507229271165565E-2</v>
      </c>
      <c r="G195" s="1">
        <f t="shared" si="10"/>
        <v>-0.54307940701598467</v>
      </c>
      <c r="H195" s="1">
        <f t="shared" si="11"/>
        <v>5.7098283931357425</v>
      </c>
    </row>
    <row r="196" spans="1:8">
      <c r="A196" s="8">
        <v>45854</v>
      </c>
      <c r="B196" s="4" t="s">
        <v>11</v>
      </c>
      <c r="C196" s="4"/>
      <c r="D196" s="7">
        <v>67.13</v>
      </c>
      <c r="E196" s="1">
        <f t="shared" ref="E196:E259" si="12">(D196-D195)/D195 * 100</f>
        <v>-0.9297520661157167</v>
      </c>
      <c r="F196" s="1">
        <f t="shared" si="9"/>
        <v>-3.5904064340083299</v>
      </c>
      <c r="G196" s="1">
        <f t="shared" si="10"/>
        <v>-2.9352226720647789</v>
      </c>
      <c r="H196" s="1">
        <f t="shared" si="11"/>
        <v>5.6001258455246106</v>
      </c>
    </row>
    <row r="197" spans="1:8">
      <c r="A197" s="8">
        <v>45855</v>
      </c>
      <c r="B197" s="4" t="s">
        <v>11</v>
      </c>
      <c r="C197" s="4"/>
      <c r="D197" s="7">
        <v>68.760000000000005</v>
      </c>
      <c r="E197" s="1">
        <f t="shared" si="12"/>
        <v>2.4281245344853417</v>
      </c>
      <c r="F197" s="1">
        <f t="shared" si="9"/>
        <v>0.83589969203696646</v>
      </c>
      <c r="G197" s="1">
        <f t="shared" si="10"/>
        <v>-1.1358734723220589</v>
      </c>
      <c r="H197" s="1">
        <f t="shared" si="11"/>
        <v>7.3368716827973817</v>
      </c>
    </row>
    <row r="198" spans="1:8">
      <c r="A198" s="8">
        <v>45856</v>
      </c>
      <c r="B198" s="4" t="s">
        <v>11</v>
      </c>
      <c r="C198" s="4"/>
      <c r="D198" s="7">
        <v>68.53</v>
      </c>
      <c r="E198" s="1">
        <f t="shared" si="12"/>
        <v>-0.33449680046539265</v>
      </c>
      <c r="F198" s="1">
        <f t="shared" ref="F198:F261" si="13">(D198-D195)/D195*100</f>
        <v>1.1363636363636302</v>
      </c>
      <c r="G198" s="1">
        <f t="shared" si="10"/>
        <v>-1.5515012210889216</v>
      </c>
      <c r="H198" s="1">
        <f t="shared" si="11"/>
        <v>4.9464012251148608</v>
      </c>
    </row>
    <row r="199" spans="1:8">
      <c r="A199" s="8">
        <v>45859</v>
      </c>
      <c r="B199" s="4" t="s">
        <v>11</v>
      </c>
      <c r="C199" s="4"/>
      <c r="D199" s="7">
        <v>68.39</v>
      </c>
      <c r="E199" s="1">
        <f t="shared" si="12"/>
        <v>-0.20429009193054221</v>
      </c>
      <c r="F199" s="1">
        <f t="shared" si="13"/>
        <v>1.8769551616267022</v>
      </c>
      <c r="G199" s="1">
        <f t="shared" si="10"/>
        <v>0.89997049277072794</v>
      </c>
      <c r="H199" s="1">
        <f t="shared" si="11"/>
        <v>3.6369146840430457</v>
      </c>
    </row>
    <row r="200" spans="1:8">
      <c r="A200" s="8">
        <v>45860</v>
      </c>
      <c r="B200" s="4" t="s">
        <v>11</v>
      </c>
      <c r="C200" s="4"/>
      <c r="D200" s="7">
        <v>67.56</v>
      </c>
      <c r="E200" s="1">
        <f t="shared" si="12"/>
        <v>-1.2136277233513646</v>
      </c>
      <c r="F200" s="1">
        <f t="shared" si="13"/>
        <v>-1.7452006980802834</v>
      </c>
      <c r="G200" s="1">
        <f t="shared" si="10"/>
        <v>-2.9728565273588874</v>
      </c>
      <c r="H200" s="1">
        <f t="shared" si="11"/>
        <v>2.8936947913493842</v>
      </c>
    </row>
    <row r="201" spans="1:8">
      <c r="A201" s="8">
        <v>45861</v>
      </c>
      <c r="B201" s="4" t="s">
        <v>11</v>
      </c>
      <c r="C201" s="4"/>
      <c r="D201" s="7">
        <v>66.05</v>
      </c>
      <c r="E201" s="1">
        <f t="shared" si="12"/>
        <v>-2.2350503256364789</v>
      </c>
      <c r="F201" s="1">
        <f t="shared" si="13"/>
        <v>-3.6188530570553104</v>
      </c>
      <c r="G201" s="1">
        <f t="shared" si="10"/>
        <v>-3.1382900718580444</v>
      </c>
      <c r="H201" s="1">
        <f t="shared" si="11"/>
        <v>-4.1503410245247414</v>
      </c>
    </row>
    <row r="202" spans="1:8">
      <c r="A202" s="8">
        <v>45862</v>
      </c>
      <c r="B202" s="4" t="s">
        <v>11</v>
      </c>
      <c r="C202" s="4"/>
      <c r="D202" s="7">
        <v>67.16</v>
      </c>
      <c r="E202" s="1">
        <f t="shared" si="12"/>
        <v>1.6805450416351242</v>
      </c>
      <c r="F202" s="1">
        <f t="shared" si="13"/>
        <v>-1.7985085538821524</v>
      </c>
      <c r="G202" s="1">
        <f t="shared" ref="G202:G265" si="14">(D202-D195)/D195*100</f>
        <v>-0.88547815820544351</v>
      </c>
      <c r="H202" s="1">
        <f t="shared" si="11"/>
        <v>-2.2843008875309287</v>
      </c>
    </row>
    <row r="203" spans="1:8">
      <c r="A203" s="8">
        <v>45863</v>
      </c>
      <c r="B203" s="4" t="s">
        <v>11</v>
      </c>
      <c r="C203" s="4"/>
      <c r="D203" s="7">
        <v>66.38</v>
      </c>
      <c r="E203" s="1">
        <f t="shared" si="12"/>
        <v>-1.1614055985705796</v>
      </c>
      <c r="F203" s="1">
        <f t="shared" si="13"/>
        <v>-1.7465956187093055</v>
      </c>
      <c r="G203" s="1">
        <f t="shared" si="14"/>
        <v>-1.1172352152539848</v>
      </c>
      <c r="H203" s="1">
        <f t="shared" si="11"/>
        <v>-10.102925243770326</v>
      </c>
    </row>
    <row r="204" spans="1:8">
      <c r="A204" s="8">
        <v>45866</v>
      </c>
      <c r="B204" s="4" t="s">
        <v>11</v>
      </c>
      <c r="C204" s="4"/>
      <c r="D204" s="7">
        <v>67.81</v>
      </c>
      <c r="E204" s="1">
        <f t="shared" si="12"/>
        <v>2.154263332329025</v>
      </c>
      <c r="F204" s="1">
        <f t="shared" si="13"/>
        <v>2.6646479939439898</v>
      </c>
      <c r="G204" s="1">
        <f t="shared" si="14"/>
        <v>-1.3816172193135583</v>
      </c>
      <c r="H204" s="1">
        <f t="shared" si="11"/>
        <v>-6.5076520060664542</v>
      </c>
    </row>
    <row r="205" spans="1:8">
      <c r="A205" s="8">
        <v>45867</v>
      </c>
      <c r="B205" s="4" t="s">
        <v>11</v>
      </c>
      <c r="C205" s="4"/>
      <c r="D205" s="7">
        <v>70.27</v>
      </c>
      <c r="E205" s="1">
        <f t="shared" si="12"/>
        <v>3.627783512756221</v>
      </c>
      <c r="F205" s="1">
        <f t="shared" si="13"/>
        <v>4.630732578916021</v>
      </c>
      <c r="G205" s="1">
        <f t="shared" si="14"/>
        <v>2.5390339997081495</v>
      </c>
      <c r="H205" s="1">
        <f t="shared" si="11"/>
        <v>-7.0748479238296857</v>
      </c>
    </row>
    <row r="206" spans="1:8">
      <c r="A206" s="8">
        <v>45868</v>
      </c>
      <c r="B206" s="4" t="s">
        <v>11</v>
      </c>
      <c r="C206" s="4"/>
      <c r="D206" s="7">
        <v>71.09</v>
      </c>
      <c r="E206" s="1">
        <f t="shared" si="12"/>
        <v>1.1669275651060302</v>
      </c>
      <c r="F206" s="1">
        <f t="shared" si="13"/>
        <v>7.0955106959927807</v>
      </c>
      <c r="G206" s="1">
        <f t="shared" si="14"/>
        <v>3.9479456060827642</v>
      </c>
      <c r="H206" s="1">
        <f t="shared" si="11"/>
        <v>-6.3249439978916815</v>
      </c>
    </row>
    <row r="207" spans="1:8">
      <c r="A207" s="8">
        <v>45869</v>
      </c>
      <c r="B207" s="4" t="s">
        <v>11</v>
      </c>
      <c r="C207" s="4"/>
      <c r="D207" s="7">
        <v>70.36</v>
      </c>
      <c r="E207" s="1">
        <f t="shared" si="12"/>
        <v>-1.0268673512449062</v>
      </c>
      <c r="F207" s="1">
        <f t="shared" si="13"/>
        <v>3.7605072998082836</v>
      </c>
      <c r="G207" s="1">
        <f t="shared" si="14"/>
        <v>4.1444641799881543</v>
      </c>
      <c r="H207" s="1">
        <f t="shared" si="11"/>
        <v>-7.0787110406761746</v>
      </c>
    </row>
    <row r="208" spans="1:8">
      <c r="A208" s="8">
        <v>45870</v>
      </c>
      <c r="B208" s="4" t="s">
        <v>11</v>
      </c>
      <c r="C208" s="4"/>
      <c r="D208" s="7">
        <v>68.39</v>
      </c>
      <c r="E208" s="1">
        <f t="shared" si="12"/>
        <v>-2.7998862990335405</v>
      </c>
      <c r="F208" s="1">
        <f t="shared" si="13"/>
        <v>-2.6753949053650143</v>
      </c>
      <c r="G208" s="1">
        <f t="shared" si="14"/>
        <v>3.54277062831189</v>
      </c>
      <c r="H208" s="1">
        <f t="shared" si="11"/>
        <v>-1.398500576701267</v>
      </c>
    </row>
    <row r="209" spans="1:8">
      <c r="A209" s="8">
        <v>45873</v>
      </c>
      <c r="B209" s="4" t="s">
        <v>11</v>
      </c>
      <c r="C209" s="4"/>
      <c r="D209" s="7">
        <v>67.33</v>
      </c>
      <c r="E209" s="1">
        <f t="shared" si="12"/>
        <v>-1.5499342009065686</v>
      </c>
      <c r="F209" s="1">
        <f t="shared" si="13"/>
        <v>-5.2890701927134689</v>
      </c>
      <c r="G209" s="1">
        <f t="shared" si="14"/>
        <v>0.25312686122692335</v>
      </c>
      <c r="H209" s="1">
        <f t="shared" si="11"/>
        <v>2.8724216959511004</v>
      </c>
    </row>
    <row r="210" spans="1:8">
      <c r="A210" s="8">
        <v>45874</v>
      </c>
      <c r="B210" s="4" t="s">
        <v>11</v>
      </c>
      <c r="C210" s="4"/>
      <c r="D210" s="7">
        <v>66.2</v>
      </c>
      <c r="E210" s="1">
        <f t="shared" si="12"/>
        <v>-1.6783009059854379</v>
      </c>
      <c r="F210" s="1">
        <f t="shared" si="13"/>
        <v>-5.9124502558271699</v>
      </c>
      <c r="G210" s="1">
        <f t="shared" si="14"/>
        <v>-0.27116601385958516</v>
      </c>
      <c r="H210" s="1">
        <f t="shared" si="11"/>
        <v>0.33343437405274151</v>
      </c>
    </row>
    <row r="211" spans="1:8">
      <c r="A211" s="8">
        <v>45875</v>
      </c>
      <c r="B211" s="4" t="s">
        <v>11</v>
      </c>
      <c r="C211" s="4"/>
      <c r="D211" s="7">
        <v>65.38</v>
      </c>
      <c r="E211" s="1">
        <f t="shared" si="12"/>
        <v>-1.2386706948640593</v>
      </c>
      <c r="F211" s="1">
        <f t="shared" si="13"/>
        <v>-4.401228249744122</v>
      </c>
      <c r="G211" s="1">
        <f t="shared" si="14"/>
        <v>-3.5835422504055545</v>
      </c>
      <c r="H211" s="1">
        <f t="shared" si="11"/>
        <v>-1.5954244431065658</v>
      </c>
    </row>
    <row r="212" spans="1:8">
      <c r="A212" s="8">
        <v>45876</v>
      </c>
      <c r="B212" s="4" t="s">
        <v>11</v>
      </c>
      <c r="C212" s="4"/>
      <c r="D212" s="7">
        <v>64.900000000000006</v>
      </c>
      <c r="E212" s="1">
        <f t="shared" si="12"/>
        <v>-0.73416947078615746</v>
      </c>
      <c r="F212" s="1">
        <f t="shared" si="13"/>
        <v>-3.6090895588890426</v>
      </c>
      <c r="G212" s="1">
        <f t="shared" si="14"/>
        <v>-7.6419524690479443</v>
      </c>
      <c r="H212" s="1">
        <f t="shared" si="11"/>
        <v>-2.6402640264026269</v>
      </c>
    </row>
    <row r="213" spans="1:8">
      <c r="A213" s="8">
        <v>45877</v>
      </c>
      <c r="B213" s="4" t="s">
        <v>11</v>
      </c>
      <c r="C213" s="4"/>
      <c r="D213" s="7">
        <v>64.94</v>
      </c>
      <c r="E213" s="1">
        <f t="shared" si="12"/>
        <v>6.1633281972252749E-2</v>
      </c>
      <c r="F213" s="1">
        <f t="shared" si="13"/>
        <v>-1.9033232628398868</v>
      </c>
      <c r="G213" s="1">
        <f t="shared" si="14"/>
        <v>-8.6510057673371854</v>
      </c>
      <c r="H213" s="1">
        <f t="shared" si="11"/>
        <v>-2.0512820512820507</v>
      </c>
    </row>
    <row r="214" spans="1:8">
      <c r="A214" s="8">
        <v>45880</v>
      </c>
      <c r="B214" s="4" t="s">
        <v>11</v>
      </c>
      <c r="C214" s="4"/>
      <c r="D214" s="7">
        <v>65.03</v>
      </c>
      <c r="E214" s="1">
        <f t="shared" si="12"/>
        <v>0.13858946720049803</v>
      </c>
      <c r="F214" s="1">
        <f t="shared" si="13"/>
        <v>-0.53533190578157597</v>
      </c>
      <c r="G214" s="1">
        <f t="shared" si="14"/>
        <v>-7.5753268902785651</v>
      </c>
      <c r="H214" s="1">
        <f t="shared" si="11"/>
        <v>-2.4159663865546208</v>
      </c>
    </row>
    <row r="215" spans="1:8">
      <c r="A215" s="8">
        <v>45881</v>
      </c>
      <c r="B215" s="4" t="s">
        <v>11</v>
      </c>
      <c r="C215" s="4"/>
      <c r="D215" s="7">
        <v>64.22</v>
      </c>
      <c r="E215" s="1">
        <f t="shared" si="12"/>
        <v>-1.2455789635552856</v>
      </c>
      <c r="F215" s="1">
        <f t="shared" si="13"/>
        <v>-1.0477657935285158</v>
      </c>
      <c r="G215" s="1">
        <f t="shared" si="14"/>
        <v>-6.0973826582833768</v>
      </c>
      <c r="H215" s="1">
        <f t="shared" si="11"/>
        <v>-6.466647247305561</v>
      </c>
    </row>
    <row r="216" spans="1:8">
      <c r="A216" s="8">
        <v>45882</v>
      </c>
      <c r="B216" s="4" t="s">
        <v>11</v>
      </c>
      <c r="C216" s="4"/>
      <c r="D216" s="7">
        <v>63.68</v>
      </c>
      <c r="E216" s="1">
        <f t="shared" si="12"/>
        <v>-0.84085954531298523</v>
      </c>
      <c r="F216" s="1">
        <f t="shared" si="13"/>
        <v>-1.9402525408068958</v>
      </c>
      <c r="G216" s="1">
        <f t="shared" si="14"/>
        <v>-5.4210604485370544</v>
      </c>
      <c r="H216" s="1">
        <f t="shared" si="11"/>
        <v>-6.5316307060032237</v>
      </c>
    </row>
    <row r="217" spans="1:8">
      <c r="A217" s="8">
        <v>45883</v>
      </c>
      <c r="B217" s="4" t="s">
        <v>11</v>
      </c>
      <c r="C217" s="4"/>
      <c r="D217" s="7">
        <v>64.989999999999995</v>
      </c>
      <c r="E217" s="1">
        <f t="shared" si="12"/>
        <v>2.0571608040200928</v>
      </c>
      <c r="F217" s="1">
        <f t="shared" si="13"/>
        <v>-6.1510072274344532E-2</v>
      </c>
      <c r="G217" s="1">
        <f t="shared" si="14"/>
        <v>-1.8277945619335465</v>
      </c>
      <c r="H217" s="1">
        <f t="shared" si="11"/>
        <v>-6.0294968189705065</v>
      </c>
    </row>
    <row r="218" spans="1:8">
      <c r="A218" s="8">
        <v>45884</v>
      </c>
      <c r="B218" s="4" t="s">
        <v>11</v>
      </c>
      <c r="C218" s="4"/>
      <c r="D218" s="7">
        <v>63.78</v>
      </c>
      <c r="E218" s="1">
        <f t="shared" si="12"/>
        <v>-1.8618248961378578</v>
      </c>
      <c r="F218" s="1">
        <f t="shared" si="13"/>
        <v>-0.68514481469946709</v>
      </c>
      <c r="G218" s="1">
        <f t="shared" si="14"/>
        <v>-2.4472315692872351</v>
      </c>
      <c r="H218" s="1">
        <f t="shared" si="11"/>
        <v>-8.2961897915168894</v>
      </c>
    </row>
    <row r="219" spans="1:8">
      <c r="A219" s="8">
        <v>45887</v>
      </c>
      <c r="B219" s="4" t="s">
        <v>11</v>
      </c>
      <c r="C219" s="4"/>
      <c r="D219" s="7">
        <v>64.510000000000005</v>
      </c>
      <c r="E219" s="1">
        <f t="shared" si="12"/>
        <v>1.1445594230166258</v>
      </c>
      <c r="F219" s="1">
        <f t="shared" si="13"/>
        <v>1.3033919597990034</v>
      </c>
      <c r="G219" s="1">
        <f t="shared" si="14"/>
        <v>-0.6009244992295848</v>
      </c>
      <c r="H219" s="1">
        <f t="shared" si="11"/>
        <v>-7.3265335440310224</v>
      </c>
    </row>
    <row r="220" spans="1:8">
      <c r="A220" s="8">
        <v>45888</v>
      </c>
      <c r="B220" s="4" t="s">
        <v>11</v>
      </c>
      <c r="C220" s="4"/>
      <c r="D220" s="7">
        <v>63.38</v>
      </c>
      <c r="E220" s="1">
        <f t="shared" si="12"/>
        <v>-1.7516664083087929</v>
      </c>
      <c r="F220" s="1">
        <f t="shared" si="13"/>
        <v>-2.4773042006462416</v>
      </c>
      <c r="G220" s="1">
        <f t="shared" si="14"/>
        <v>-2.4022174314752007</v>
      </c>
      <c r="H220" s="1">
        <f t="shared" si="11"/>
        <v>-6.4915904396577142</v>
      </c>
    </row>
    <row r="221" spans="1:8">
      <c r="A221" s="8">
        <v>45889</v>
      </c>
      <c r="B221" s="4" t="s">
        <v>11</v>
      </c>
      <c r="C221" s="4"/>
      <c r="D221" s="7">
        <v>64.19</v>
      </c>
      <c r="E221" s="1">
        <f t="shared" si="12"/>
        <v>1.2780056800252368</v>
      </c>
      <c r="F221" s="1">
        <f t="shared" si="13"/>
        <v>0.64283474443398658</v>
      </c>
      <c r="G221" s="1">
        <f t="shared" si="14"/>
        <v>-1.2917115177610385</v>
      </c>
      <c r="H221" s="1">
        <f t="shared" si="11"/>
        <v>-7.8127244004021223</v>
      </c>
    </row>
    <row r="222" spans="1:8">
      <c r="A222" s="8">
        <v>45890</v>
      </c>
      <c r="B222" s="4" t="s">
        <v>11</v>
      </c>
      <c r="C222" s="4"/>
      <c r="D222" s="7">
        <v>64.56</v>
      </c>
      <c r="E222" s="1">
        <f t="shared" si="12"/>
        <v>0.57641377161552354</v>
      </c>
      <c r="F222" s="1">
        <f t="shared" si="13"/>
        <v>7.7507363199499538E-2</v>
      </c>
      <c r="G222" s="1">
        <f t="shared" si="14"/>
        <v>0.52943008408595982</v>
      </c>
      <c r="H222" s="1">
        <f t="shared" si="11"/>
        <v>-5.3233611966563945</v>
      </c>
    </row>
    <row r="223" spans="1:8">
      <c r="A223" s="8">
        <v>45891</v>
      </c>
      <c r="B223" s="4" t="s">
        <v>11</v>
      </c>
      <c r="C223" s="4"/>
      <c r="D223" s="7">
        <v>64.08</v>
      </c>
      <c r="E223" s="1">
        <f t="shared" si="12"/>
        <v>-0.74349442379182773</v>
      </c>
      <c r="F223" s="1">
        <f t="shared" si="13"/>
        <v>1.1044493531082293</v>
      </c>
      <c r="G223" s="1">
        <f t="shared" si="14"/>
        <v>0.62814070351758566</v>
      </c>
      <c r="H223" s="1">
        <f t="shared" ref="H223:H286" si="15">(D223-D195)/D195*100</f>
        <v>-5.4309327036599857</v>
      </c>
    </row>
    <row r="224" spans="1:8">
      <c r="A224" s="8">
        <v>45894</v>
      </c>
      <c r="B224" s="4" t="s">
        <v>11</v>
      </c>
      <c r="C224" s="4"/>
      <c r="D224" s="7">
        <v>65.180000000000007</v>
      </c>
      <c r="E224" s="1">
        <f t="shared" si="12"/>
        <v>1.7166042446941456</v>
      </c>
      <c r="F224" s="1">
        <f t="shared" si="13"/>
        <v>1.5422963078361258</v>
      </c>
      <c r="G224" s="1">
        <f t="shared" si="14"/>
        <v>0.29235266964150169</v>
      </c>
      <c r="H224" s="1">
        <f t="shared" si="15"/>
        <v>-2.9048115596603434</v>
      </c>
    </row>
    <row r="225" spans="1:8">
      <c r="A225" s="8">
        <v>45895</v>
      </c>
      <c r="B225" s="4" t="s">
        <v>11</v>
      </c>
      <c r="C225" s="4"/>
      <c r="D225" s="7">
        <v>63.6</v>
      </c>
      <c r="E225" s="1">
        <f t="shared" si="12"/>
        <v>-2.4240564590365223</v>
      </c>
      <c r="F225" s="1">
        <f t="shared" si="13"/>
        <v>-1.4869888475836444</v>
      </c>
      <c r="G225" s="1">
        <f t="shared" si="14"/>
        <v>-0.28222013170272769</v>
      </c>
      <c r="H225" s="1">
        <f t="shared" si="15"/>
        <v>-7.5043630017452054</v>
      </c>
    </row>
    <row r="226" spans="1:8">
      <c r="A226" s="8">
        <v>45896</v>
      </c>
      <c r="B226" s="4" t="s">
        <v>11</v>
      </c>
      <c r="C226" s="4"/>
      <c r="D226" s="7">
        <v>64.489999999999995</v>
      </c>
      <c r="E226" s="1">
        <f t="shared" si="12"/>
        <v>1.3993710691823795</v>
      </c>
      <c r="F226" s="1">
        <f t="shared" si="13"/>
        <v>0.63982521847689855</v>
      </c>
      <c r="G226" s="1">
        <f t="shared" si="14"/>
        <v>-3.1002945279817441E-2</v>
      </c>
      <c r="H226" s="1">
        <f t="shared" si="15"/>
        <v>-5.8952283671384889</v>
      </c>
    </row>
    <row r="227" spans="1:8">
      <c r="A227" s="8">
        <v>45897</v>
      </c>
      <c r="B227" s="4" t="s">
        <v>11</v>
      </c>
      <c r="C227" s="4"/>
      <c r="D227" s="7">
        <v>64.959999999999994</v>
      </c>
      <c r="E227" s="1">
        <f t="shared" si="12"/>
        <v>0.72879516204062467</v>
      </c>
      <c r="F227" s="1">
        <f t="shared" si="13"/>
        <v>-0.33752684872662331</v>
      </c>
      <c r="G227" s="1">
        <f t="shared" si="14"/>
        <v>2.4928999684442901</v>
      </c>
      <c r="H227" s="1">
        <f t="shared" si="15"/>
        <v>-5.0153531218014429</v>
      </c>
    </row>
    <row r="228" spans="1:8">
      <c r="A228" s="8">
        <v>45898</v>
      </c>
      <c r="B228" s="4" t="s">
        <v>11</v>
      </c>
      <c r="C228" s="4"/>
      <c r="D228" s="7">
        <v>64.36</v>
      </c>
      <c r="E228" s="1">
        <f t="shared" si="12"/>
        <v>-0.92364532019703571</v>
      </c>
      <c r="F228" s="1">
        <f t="shared" si="13"/>
        <v>1.1949685534591163</v>
      </c>
      <c r="G228" s="1">
        <f t="shared" si="14"/>
        <v>0.26483875993145617</v>
      </c>
      <c r="H228" s="1">
        <f t="shared" si="15"/>
        <v>-4.736530491415043</v>
      </c>
    </row>
    <row r="229" spans="1:8">
      <c r="A229" s="8">
        <v>45902</v>
      </c>
      <c r="B229" s="4" t="s">
        <v>34</v>
      </c>
      <c r="C229" s="4" t="s">
        <v>13</v>
      </c>
      <c r="D229" s="7">
        <v>65.95</v>
      </c>
      <c r="E229" s="1">
        <f t="shared" si="12"/>
        <v>2.4704785581106328</v>
      </c>
      <c r="F229" s="1">
        <f t="shared" si="13"/>
        <v>2.26391688633898</v>
      </c>
      <c r="G229" s="1">
        <f t="shared" si="14"/>
        <v>2.1530359355638176</v>
      </c>
      <c r="H229" s="1">
        <f t="shared" si="15"/>
        <v>-0.15140045420135401</v>
      </c>
    </row>
    <row r="230" spans="1:8">
      <c r="A230" s="8">
        <v>45903</v>
      </c>
      <c r="B230" s="4" t="s">
        <v>34</v>
      </c>
      <c r="C230" s="4"/>
      <c r="D230" s="7">
        <v>64.36</v>
      </c>
      <c r="E230" s="1">
        <f t="shared" si="12"/>
        <v>-2.4109173616376092</v>
      </c>
      <c r="F230" s="1">
        <f t="shared" si="13"/>
        <v>-0.92364532019703571</v>
      </c>
      <c r="G230" s="1">
        <f t="shared" si="14"/>
        <v>0.43695380774032633</v>
      </c>
      <c r="H230" s="1">
        <f t="shared" si="15"/>
        <v>-4.1691483025610436</v>
      </c>
    </row>
    <row r="231" spans="1:8">
      <c r="A231" s="8">
        <v>45904</v>
      </c>
      <c r="B231" s="4" t="s">
        <v>34</v>
      </c>
      <c r="C231" s="4"/>
      <c r="D231" s="7">
        <v>63.81</v>
      </c>
      <c r="E231" s="1">
        <f t="shared" si="12"/>
        <v>-0.8545680546923512</v>
      </c>
      <c r="F231" s="1">
        <f t="shared" si="13"/>
        <v>-0.8545680546923512</v>
      </c>
      <c r="G231" s="1">
        <f t="shared" si="14"/>
        <v>-2.1018717397974904</v>
      </c>
      <c r="H231" s="1">
        <f t="shared" si="15"/>
        <v>-3.871648086773114</v>
      </c>
    </row>
    <row r="232" spans="1:8">
      <c r="A232" s="8">
        <v>45905</v>
      </c>
      <c r="B232" s="4" t="s">
        <v>34</v>
      </c>
      <c r="C232" s="4"/>
      <c r="D232" s="7">
        <v>62.22</v>
      </c>
      <c r="E232" s="1">
        <f t="shared" si="12"/>
        <v>-2.4917724494593374</v>
      </c>
      <c r="F232" s="1">
        <f t="shared" si="13"/>
        <v>-5.6557998483699832</v>
      </c>
      <c r="G232" s="1">
        <f t="shared" si="14"/>
        <v>-2.1698113207547212</v>
      </c>
      <c r="H232" s="1">
        <f t="shared" si="15"/>
        <v>-8.2436218846777809</v>
      </c>
    </row>
    <row r="233" spans="1:8">
      <c r="A233" s="8">
        <v>45908</v>
      </c>
      <c r="B233" s="4" t="s">
        <v>34</v>
      </c>
      <c r="C233" s="4"/>
      <c r="D233" s="7">
        <v>62.6</v>
      </c>
      <c r="E233" s="1">
        <f t="shared" si="12"/>
        <v>0.61073609771777981</v>
      </c>
      <c r="F233" s="1">
        <f t="shared" si="13"/>
        <v>-2.7346177750155345</v>
      </c>
      <c r="G233" s="1">
        <f t="shared" si="14"/>
        <v>-2.9306869282059136</v>
      </c>
      <c r="H233" s="1">
        <f t="shared" si="15"/>
        <v>-10.915041980930688</v>
      </c>
    </row>
    <row r="234" spans="1:8">
      <c r="A234" s="8">
        <v>45909</v>
      </c>
      <c r="B234" s="4" t="s">
        <v>34</v>
      </c>
      <c r="C234" s="4"/>
      <c r="D234" s="7">
        <v>62.97</v>
      </c>
      <c r="E234" s="1">
        <f t="shared" si="12"/>
        <v>0.59105431309903744</v>
      </c>
      <c r="F234" s="1">
        <f t="shared" si="13"/>
        <v>-1.3164080865068224</v>
      </c>
      <c r="G234" s="1">
        <f t="shared" si="14"/>
        <v>-3.0634236453201895</v>
      </c>
      <c r="H234" s="1">
        <f t="shared" si="15"/>
        <v>-11.422140948093972</v>
      </c>
    </row>
    <row r="235" spans="1:8">
      <c r="A235" s="8">
        <v>45910</v>
      </c>
      <c r="B235" s="4" t="s">
        <v>34</v>
      </c>
      <c r="C235" s="4"/>
      <c r="D235" s="7">
        <v>64.010000000000005</v>
      </c>
      <c r="E235" s="1">
        <f t="shared" si="12"/>
        <v>1.6515801175162874</v>
      </c>
      <c r="F235" s="1">
        <f t="shared" si="13"/>
        <v>2.8768884603021636</v>
      </c>
      <c r="G235" s="1">
        <f t="shared" si="14"/>
        <v>-0.54381603480421736</v>
      </c>
      <c r="H235" s="1">
        <f t="shared" si="15"/>
        <v>-9.0250142126207997</v>
      </c>
    </row>
    <row r="236" spans="1:8">
      <c r="A236" s="8">
        <v>45911</v>
      </c>
      <c r="B236" s="4" t="s">
        <v>34</v>
      </c>
      <c r="C236" s="4"/>
      <c r="D236" s="7">
        <v>62.71</v>
      </c>
      <c r="E236" s="1">
        <f t="shared" si="12"/>
        <v>-2.0309326667708234</v>
      </c>
      <c r="F236" s="1">
        <f t="shared" si="13"/>
        <v>0.17571884984025468</v>
      </c>
      <c r="G236" s="1">
        <f t="shared" si="14"/>
        <v>-4.9128127369219134</v>
      </c>
      <c r="H236" s="1">
        <f t="shared" si="15"/>
        <v>-8.3053077935370663</v>
      </c>
    </row>
    <row r="237" spans="1:8">
      <c r="A237" s="8">
        <v>45912</v>
      </c>
      <c r="B237" s="4" t="s">
        <v>34</v>
      </c>
      <c r="C237" s="4"/>
      <c r="D237" s="7">
        <v>63.02</v>
      </c>
      <c r="E237" s="1">
        <f t="shared" si="12"/>
        <v>0.4943390208898138</v>
      </c>
      <c r="F237" s="1">
        <f t="shared" si="13"/>
        <v>7.9402890265212425E-2</v>
      </c>
      <c r="G237" s="1">
        <f t="shared" si="14"/>
        <v>-2.0820385332504605</v>
      </c>
      <c r="H237" s="1">
        <f t="shared" si="15"/>
        <v>-6.4013069953958039</v>
      </c>
    </row>
    <row r="238" spans="1:8">
      <c r="A238" s="8">
        <v>45915</v>
      </c>
      <c r="B238" s="4" t="s">
        <v>34</v>
      </c>
      <c r="C238" s="4"/>
      <c r="D238" s="7">
        <v>63.66</v>
      </c>
      <c r="E238" s="1">
        <f t="shared" si="12"/>
        <v>1.0155506188511478</v>
      </c>
      <c r="F238" s="1">
        <f t="shared" si="13"/>
        <v>-0.54678956413061786</v>
      </c>
      <c r="G238" s="1">
        <f t="shared" si="14"/>
        <v>-0.23507287259051196</v>
      </c>
      <c r="H238" s="1">
        <f t="shared" si="15"/>
        <v>-3.8368580060423056</v>
      </c>
    </row>
    <row r="239" spans="1:8">
      <c r="A239" s="8">
        <v>45916</v>
      </c>
      <c r="B239" s="4" t="s">
        <v>34</v>
      </c>
      <c r="C239" s="4"/>
      <c r="D239" s="7">
        <v>64.89</v>
      </c>
      <c r="E239" s="1">
        <f t="shared" si="12"/>
        <v>1.9321394910461893</v>
      </c>
      <c r="F239" s="1">
        <f t="shared" si="13"/>
        <v>3.4763195662573749</v>
      </c>
      <c r="G239" s="1">
        <f t="shared" si="14"/>
        <v>4.2912246865959531</v>
      </c>
      <c r="H239" s="1">
        <f t="shared" si="15"/>
        <v>-0.74946466809421064</v>
      </c>
    </row>
    <row r="240" spans="1:8">
      <c r="A240" s="8">
        <v>45917</v>
      </c>
      <c r="B240" s="4" t="s">
        <v>34</v>
      </c>
      <c r="C240" s="4"/>
      <c r="D240" s="7">
        <v>64.41</v>
      </c>
      <c r="E240" s="1">
        <f t="shared" si="12"/>
        <v>-0.73971336107259045</v>
      </c>
      <c r="F240" s="1">
        <f t="shared" si="13"/>
        <v>2.205649000317349</v>
      </c>
      <c r="G240" s="1">
        <f t="shared" si="14"/>
        <v>2.8913738019169251</v>
      </c>
      <c r="H240" s="1">
        <f t="shared" si="15"/>
        <v>-0.75500770416026042</v>
      </c>
    </row>
    <row r="241" spans="1:8">
      <c r="A241" s="8">
        <v>45918</v>
      </c>
      <c r="B241" s="4" t="s">
        <v>34</v>
      </c>
      <c r="C241" s="4"/>
      <c r="D241" s="7">
        <v>63.91</v>
      </c>
      <c r="E241" s="1">
        <f t="shared" si="12"/>
        <v>-0.77627697562490294</v>
      </c>
      <c r="F241" s="1">
        <f t="shared" si="13"/>
        <v>0.39271127866792338</v>
      </c>
      <c r="G241" s="1">
        <f t="shared" si="14"/>
        <v>1.4927743369858626</v>
      </c>
      <c r="H241" s="1">
        <f t="shared" si="15"/>
        <v>-1.5860794579611968</v>
      </c>
    </row>
    <row r="242" spans="1:8">
      <c r="A242" s="8">
        <v>45919</v>
      </c>
      <c r="B242" s="4" t="s">
        <v>34</v>
      </c>
      <c r="C242" s="4"/>
      <c r="D242" s="7">
        <v>63.02</v>
      </c>
      <c r="E242" s="1">
        <f t="shared" si="12"/>
        <v>-1.3925833202941535</v>
      </c>
      <c r="F242" s="1">
        <f t="shared" si="13"/>
        <v>-2.8817999691786058</v>
      </c>
      <c r="G242" s="1">
        <f t="shared" si="14"/>
        <v>-1.5466333385408559</v>
      </c>
      <c r="H242" s="1">
        <f t="shared" si="15"/>
        <v>-3.0908811317853266</v>
      </c>
    </row>
    <row r="243" spans="1:8">
      <c r="A243" s="8">
        <v>45922</v>
      </c>
      <c r="B243" s="4" t="s">
        <v>34</v>
      </c>
      <c r="C243" s="4"/>
      <c r="D243" s="7">
        <v>62.99</v>
      </c>
      <c r="E243" s="1">
        <f t="shared" si="12"/>
        <v>-4.7603935258649852E-2</v>
      </c>
      <c r="F243" s="1">
        <f t="shared" si="13"/>
        <v>-2.2046266107747159</v>
      </c>
      <c r="G243" s="1">
        <f t="shared" si="14"/>
        <v>0.44649976080370141</v>
      </c>
      <c r="H243" s="1">
        <f t="shared" si="15"/>
        <v>-1.9152911865462425</v>
      </c>
    </row>
    <row r="244" spans="1:8">
      <c r="A244" s="8">
        <v>45923</v>
      </c>
      <c r="B244" s="4" t="s">
        <v>34</v>
      </c>
      <c r="C244" s="4"/>
      <c r="D244" s="7">
        <v>63.76</v>
      </c>
      <c r="E244" s="1">
        <f t="shared" si="12"/>
        <v>1.2224162565486523</v>
      </c>
      <c r="F244" s="1">
        <f t="shared" si="13"/>
        <v>-0.23470505398216021</v>
      </c>
      <c r="G244" s="1">
        <f t="shared" si="14"/>
        <v>1.1742304030466437</v>
      </c>
      <c r="H244" s="1">
        <f t="shared" si="15"/>
        <v>0.12562814070351491</v>
      </c>
    </row>
    <row r="245" spans="1:8">
      <c r="A245" s="8">
        <v>45924</v>
      </c>
      <c r="B245" s="4" t="s">
        <v>34</v>
      </c>
      <c r="C245" s="4"/>
      <c r="D245" s="7">
        <v>65.400000000000006</v>
      </c>
      <c r="E245" s="1">
        <f t="shared" si="12"/>
        <v>2.5721455457967499</v>
      </c>
      <c r="F245" s="1">
        <f t="shared" si="13"/>
        <v>3.7765788638527491</v>
      </c>
      <c r="G245" s="1">
        <f t="shared" si="14"/>
        <v>2.7332704995287607</v>
      </c>
      <c r="H245" s="1">
        <f t="shared" si="15"/>
        <v>0.63086628712111215</v>
      </c>
    </row>
    <row r="246" spans="1:8">
      <c r="A246" s="8">
        <v>45925</v>
      </c>
      <c r="B246" s="4" t="s">
        <v>34</v>
      </c>
      <c r="C246" s="4"/>
      <c r="D246" s="7">
        <v>65.510000000000005</v>
      </c>
      <c r="E246" s="1">
        <f t="shared" si="12"/>
        <v>0.16819571865443336</v>
      </c>
      <c r="F246" s="1">
        <f t="shared" si="13"/>
        <v>4.0006350214319779</v>
      </c>
      <c r="G246" s="1">
        <f t="shared" si="14"/>
        <v>0.95546309138542851</v>
      </c>
      <c r="H246" s="1">
        <f t="shared" si="15"/>
        <v>2.7124490435873376</v>
      </c>
    </row>
    <row r="247" spans="1:8">
      <c r="A247" s="8">
        <v>45926</v>
      </c>
      <c r="B247" s="4" t="s">
        <v>34</v>
      </c>
      <c r="C247" s="4"/>
      <c r="D247" s="7">
        <v>66.5</v>
      </c>
      <c r="E247" s="1">
        <f t="shared" si="12"/>
        <v>1.5112196611204318</v>
      </c>
      <c r="F247" s="1">
        <f t="shared" si="13"/>
        <v>4.2973651191969919</v>
      </c>
      <c r="G247" s="1">
        <f t="shared" si="14"/>
        <v>3.2448377581120997</v>
      </c>
      <c r="H247" s="1">
        <f t="shared" si="15"/>
        <v>3.0847930553402492</v>
      </c>
    </row>
    <row r="248" spans="1:8">
      <c r="A248" s="8">
        <v>45929</v>
      </c>
      <c r="B248" s="4" t="s">
        <v>34</v>
      </c>
      <c r="C248" s="4"/>
      <c r="D248" s="7">
        <v>64.27</v>
      </c>
      <c r="E248" s="1">
        <f t="shared" si="12"/>
        <v>-3.3533834586466229</v>
      </c>
      <c r="F248" s="1">
        <f t="shared" si="13"/>
        <v>-1.7278287461773849</v>
      </c>
      <c r="G248" s="1">
        <f t="shared" si="14"/>
        <v>0.56329212955718899</v>
      </c>
      <c r="H248" s="1">
        <f t="shared" si="15"/>
        <v>1.4042284632376041</v>
      </c>
    </row>
    <row r="249" spans="1:8">
      <c r="A249" s="8">
        <v>45930</v>
      </c>
      <c r="B249" s="4" t="s">
        <v>34</v>
      </c>
      <c r="C249" s="4"/>
      <c r="D249" s="7">
        <v>63.17</v>
      </c>
      <c r="E249" s="1">
        <f t="shared" si="12"/>
        <v>-1.7115294849852098</v>
      </c>
      <c r="F249" s="1">
        <f t="shared" si="13"/>
        <v>-3.5719737444664985</v>
      </c>
      <c r="G249" s="1">
        <f t="shared" si="14"/>
        <v>0.23801967629323798</v>
      </c>
      <c r="H249" s="1">
        <f t="shared" si="15"/>
        <v>-1.5890325595887149</v>
      </c>
    </row>
    <row r="250" spans="1:8">
      <c r="A250" s="8">
        <v>45931</v>
      </c>
      <c r="B250" s="4" t="s">
        <v>34</v>
      </c>
      <c r="C250" s="4"/>
      <c r="D250" s="7">
        <v>62.59</v>
      </c>
      <c r="E250" s="1">
        <f t="shared" si="12"/>
        <v>-0.91815735317397218</v>
      </c>
      <c r="F250" s="1">
        <f t="shared" si="13"/>
        <v>-5.8796992481202963</v>
      </c>
      <c r="G250" s="1">
        <f t="shared" si="14"/>
        <v>-0.63502143197332683</v>
      </c>
      <c r="H250" s="1">
        <f t="shared" si="15"/>
        <v>-3.0514250309789324</v>
      </c>
    </row>
    <row r="251" spans="1:8">
      <c r="A251" s="8">
        <v>45932</v>
      </c>
      <c r="B251" s="4" t="s">
        <v>34</v>
      </c>
      <c r="C251" s="4"/>
      <c r="D251" s="7">
        <v>61.28</v>
      </c>
      <c r="E251" s="1">
        <f t="shared" si="12"/>
        <v>-2.0929861000159802</v>
      </c>
      <c r="F251" s="1">
        <f t="shared" si="13"/>
        <v>-4.6522483273689046</v>
      </c>
      <c r="G251" s="1">
        <f t="shared" si="14"/>
        <v>-3.8895859473023791</v>
      </c>
      <c r="H251" s="1">
        <f t="shared" si="15"/>
        <v>-4.3695380774032415</v>
      </c>
    </row>
    <row r="252" spans="1:8">
      <c r="A252" s="8">
        <v>45933</v>
      </c>
      <c r="B252" s="4" t="s">
        <v>34</v>
      </c>
      <c r="C252" s="4"/>
      <c r="D252" s="7">
        <v>61.65</v>
      </c>
      <c r="E252" s="1">
        <f t="shared" si="12"/>
        <v>0.60378590078328565</v>
      </c>
      <c r="F252" s="1">
        <f t="shared" si="13"/>
        <v>-2.4062054772835255</v>
      </c>
      <c r="G252" s="1">
        <f t="shared" si="14"/>
        <v>-5.7339449541284502</v>
      </c>
      <c r="H252" s="1">
        <f t="shared" si="15"/>
        <v>-5.4157717091132369</v>
      </c>
    </row>
    <row r="253" spans="1:8">
      <c r="A253" s="8">
        <v>45936</v>
      </c>
      <c r="B253" s="4" t="s">
        <v>34</v>
      </c>
      <c r="C253" s="4"/>
      <c r="D253" s="7">
        <v>62.49</v>
      </c>
      <c r="E253" s="1">
        <f t="shared" si="12"/>
        <v>1.3625304136253096</v>
      </c>
      <c r="F253" s="1">
        <f t="shared" si="13"/>
        <v>-0.1597699312989318</v>
      </c>
      <c r="G253" s="1">
        <f t="shared" si="14"/>
        <v>-4.6099832086704362</v>
      </c>
      <c r="H253" s="1">
        <f t="shared" si="15"/>
        <v>-1.7452830188679234</v>
      </c>
    </row>
    <row r="254" spans="1:8">
      <c r="A254" s="8">
        <v>45937</v>
      </c>
      <c r="B254" s="4" t="s">
        <v>34</v>
      </c>
      <c r="C254" s="4"/>
      <c r="D254" s="7">
        <v>62.52</v>
      </c>
      <c r="E254" s="1">
        <f t="shared" si="12"/>
        <v>4.8007681228998456E-2</v>
      </c>
      <c r="F254" s="1">
        <f t="shared" si="13"/>
        <v>2.0234986945169746</v>
      </c>
      <c r="G254" s="1">
        <f t="shared" si="14"/>
        <v>-5.9849624060150326</v>
      </c>
      <c r="H254" s="1">
        <f t="shared" si="15"/>
        <v>-3.0547371685532516</v>
      </c>
    </row>
    <row r="255" spans="1:8">
      <c r="A255" s="8">
        <v>45938</v>
      </c>
      <c r="B255" s="4" t="s">
        <v>34</v>
      </c>
      <c r="C255" s="4"/>
      <c r="D255" s="7">
        <v>63.37</v>
      </c>
      <c r="E255" s="1">
        <f t="shared" si="12"/>
        <v>1.3595649392194407</v>
      </c>
      <c r="F255" s="1">
        <f t="shared" si="13"/>
        <v>2.7899432278994305</v>
      </c>
      <c r="G255" s="1">
        <f t="shared" si="14"/>
        <v>-1.400342305896995</v>
      </c>
      <c r="H255" s="1">
        <f t="shared" si="15"/>
        <v>-2.4476600985221619</v>
      </c>
    </row>
    <row r="256" spans="1:8">
      <c r="A256" s="8">
        <v>45939</v>
      </c>
      <c r="B256" s="4" t="s">
        <v>34</v>
      </c>
      <c r="C256" s="4"/>
      <c r="D256" s="7">
        <v>62.36</v>
      </c>
      <c r="E256" s="1">
        <f t="shared" si="12"/>
        <v>-1.5938141076218999</v>
      </c>
      <c r="F256" s="1">
        <f t="shared" si="13"/>
        <v>-0.20803328532565621</v>
      </c>
      <c r="G256" s="1">
        <f t="shared" si="14"/>
        <v>-1.2822542346050376</v>
      </c>
      <c r="H256" s="1">
        <f t="shared" si="15"/>
        <v>-3.1075201988812928</v>
      </c>
    </row>
    <row r="257" spans="1:8">
      <c r="A257" s="8">
        <v>45940</v>
      </c>
      <c r="B257" s="4" t="s">
        <v>34</v>
      </c>
      <c r="C257" s="4"/>
      <c r="D257" s="7">
        <v>59.75</v>
      </c>
      <c r="E257" s="1">
        <f t="shared" si="12"/>
        <v>-4.1853752405388054</v>
      </c>
      <c r="F257" s="1">
        <f t="shared" si="13"/>
        <v>-4.4305822136916237</v>
      </c>
      <c r="G257" s="1">
        <f t="shared" si="14"/>
        <v>-4.5374660488896037</v>
      </c>
      <c r="H257" s="1">
        <f t="shared" si="15"/>
        <v>-9.4010614101592154</v>
      </c>
    </row>
    <row r="258" spans="1:8">
      <c r="A258" s="8">
        <v>45944</v>
      </c>
      <c r="B258" s="4" t="s">
        <v>34</v>
      </c>
      <c r="C258" s="4"/>
      <c r="D258" s="7">
        <v>59.52</v>
      </c>
      <c r="E258" s="1">
        <f t="shared" si="12"/>
        <v>-0.38493723849371858</v>
      </c>
      <c r="F258" s="1">
        <f t="shared" si="13"/>
        <v>-6.0754300142022952</v>
      </c>
      <c r="G258" s="1">
        <f t="shared" si="14"/>
        <v>-2.8720626631853752</v>
      </c>
      <c r="H258" s="1">
        <f t="shared" si="15"/>
        <v>-7.5201988812927221</v>
      </c>
    </row>
    <row r="259" spans="1:8">
      <c r="A259" s="8">
        <v>45945</v>
      </c>
      <c r="B259" s="4" t="s">
        <v>34</v>
      </c>
      <c r="C259" s="4"/>
      <c r="D259" s="7">
        <v>59.08</v>
      </c>
      <c r="E259" s="1">
        <f t="shared" si="12"/>
        <v>-0.7392473118279651</v>
      </c>
      <c r="F259" s="1">
        <f t="shared" si="13"/>
        <v>-5.2597819114817206</v>
      </c>
      <c r="G259" s="1">
        <f t="shared" si="14"/>
        <v>-4.1686942416869428</v>
      </c>
      <c r="H259" s="1">
        <f t="shared" si="15"/>
        <v>-7.4126312490205359</v>
      </c>
    </row>
    <row r="260" spans="1:8">
      <c r="A260" s="8">
        <v>45946</v>
      </c>
      <c r="B260" s="4" t="s">
        <v>34</v>
      </c>
      <c r="C260" s="4"/>
      <c r="D260" s="7">
        <v>58.29</v>
      </c>
      <c r="E260" s="1">
        <f t="shared" ref="E260:E323" si="16">(D260-D259)/D259 * 100</f>
        <v>-1.3371699390656724</v>
      </c>
      <c r="F260" s="1">
        <f t="shared" si="13"/>
        <v>-2.4435146443514655</v>
      </c>
      <c r="G260" s="1">
        <f t="shared" si="14"/>
        <v>-6.7210753720595342</v>
      </c>
      <c r="H260" s="1">
        <f t="shared" si="15"/>
        <v>-6.3162970106075216</v>
      </c>
    </row>
    <row r="261" spans="1:8">
      <c r="A261" s="8">
        <v>45947</v>
      </c>
      <c r="B261" s="4" t="s">
        <v>34</v>
      </c>
      <c r="C261" s="4"/>
      <c r="D261" s="7">
        <v>58.3</v>
      </c>
      <c r="E261" s="1">
        <f t="shared" si="16"/>
        <v>1.7155601303822286E-2</v>
      </c>
      <c r="F261" s="1">
        <f t="shared" si="13"/>
        <v>-2.0497311827957088</v>
      </c>
      <c r="G261" s="1">
        <f t="shared" si="14"/>
        <v>-6.7498400511836305</v>
      </c>
      <c r="H261" s="1">
        <f t="shared" si="15"/>
        <v>-6.8690095846645445</v>
      </c>
    </row>
    <row r="262" spans="1:8">
      <c r="A262" s="8">
        <v>45950</v>
      </c>
      <c r="B262" s="4" t="s">
        <v>34</v>
      </c>
      <c r="C262" s="4"/>
      <c r="D262" s="7">
        <v>58.34</v>
      </c>
      <c r="E262" s="1">
        <f t="shared" si="16"/>
        <v>6.8610634648381227E-2</v>
      </c>
      <c r="F262" s="1">
        <f t="shared" ref="F262:F325" si="17">(D262-D259)/D259*100</f>
        <v>-1.2525389302640402</v>
      </c>
      <c r="G262" s="1">
        <f t="shared" si="14"/>
        <v>-7.9375098627110532</v>
      </c>
      <c r="H262" s="1">
        <f t="shared" si="15"/>
        <v>-7.3527076385580372</v>
      </c>
    </row>
    <row r="263" spans="1:8">
      <c r="A263" s="8">
        <v>45951</v>
      </c>
      <c r="B263" s="4" t="s">
        <v>34</v>
      </c>
      <c r="C263" s="4"/>
      <c r="D263" s="7">
        <v>58.66</v>
      </c>
      <c r="E263" s="1">
        <f t="shared" si="16"/>
        <v>0.54850874185806164</v>
      </c>
      <c r="F263" s="1">
        <f t="shared" si="17"/>
        <v>0.63475724824154645</v>
      </c>
      <c r="G263" s="1">
        <f t="shared" si="14"/>
        <v>-5.9332905708787731</v>
      </c>
      <c r="H263" s="1">
        <f t="shared" si="15"/>
        <v>-8.3580690517106824</v>
      </c>
    </row>
    <row r="264" spans="1:8">
      <c r="A264" s="8">
        <v>45952</v>
      </c>
      <c r="B264" s="4" t="s">
        <v>34</v>
      </c>
      <c r="C264" s="4"/>
      <c r="D264" s="7">
        <v>59.3</v>
      </c>
      <c r="E264" s="1">
        <f t="shared" si="16"/>
        <v>1.0910330719399941</v>
      </c>
      <c r="F264" s="1">
        <f t="shared" si="17"/>
        <v>1.7152658662092626</v>
      </c>
      <c r="G264" s="1">
        <f t="shared" si="14"/>
        <v>-0.75313807531381227</v>
      </c>
      <c r="H264" s="1">
        <f t="shared" si="15"/>
        <v>-5.4377292297879185</v>
      </c>
    </row>
    <row r="265" spans="1:8">
      <c r="A265" s="8">
        <v>45953</v>
      </c>
      <c r="B265" s="4" t="s">
        <v>34</v>
      </c>
      <c r="C265" s="4"/>
      <c r="D265" s="7">
        <v>62.44</v>
      </c>
      <c r="E265" s="1">
        <f t="shared" si="16"/>
        <v>5.2951096121416539</v>
      </c>
      <c r="F265" s="1">
        <f t="shared" si="17"/>
        <v>7.0277682550565546</v>
      </c>
      <c r="G265" s="1">
        <f t="shared" si="14"/>
        <v>4.9059139784946142</v>
      </c>
      <c r="H265" s="1">
        <f t="shared" si="15"/>
        <v>-0.92034274833387075</v>
      </c>
    </row>
    <row r="266" spans="1:8">
      <c r="A266" s="8">
        <v>45954</v>
      </c>
      <c r="B266" s="4" t="s">
        <v>34</v>
      </c>
      <c r="C266" s="4"/>
      <c r="D266" s="7">
        <v>62.27</v>
      </c>
      <c r="E266" s="1">
        <f t="shared" si="16"/>
        <v>-0.27226137091607083</v>
      </c>
      <c r="F266" s="1">
        <f t="shared" si="17"/>
        <v>6.1541084214115349</v>
      </c>
      <c r="G266" s="1">
        <f t="shared" ref="G266:G329" si="18">(D266-D259)/D259*100</f>
        <v>5.3994583615436778</v>
      </c>
      <c r="H266" s="1">
        <f t="shared" si="15"/>
        <v>-2.1834747093936437</v>
      </c>
    </row>
    <row r="267" spans="1:8">
      <c r="A267" s="8">
        <v>45957</v>
      </c>
      <c r="B267" s="4" t="s">
        <v>34</v>
      </c>
      <c r="C267" s="4"/>
      <c r="D267" s="7">
        <v>62.13</v>
      </c>
      <c r="E267" s="1">
        <f t="shared" si="16"/>
        <v>-0.22482736470210463</v>
      </c>
      <c r="F267" s="1">
        <f t="shared" si="17"/>
        <v>4.7723440134907342</v>
      </c>
      <c r="G267" s="1">
        <f t="shared" si="18"/>
        <v>6.5877509006690742</v>
      </c>
      <c r="H267" s="1">
        <f t="shared" si="15"/>
        <v>-4.2533518261673571</v>
      </c>
    </row>
    <row r="268" spans="1:8">
      <c r="A268" s="8">
        <v>45958</v>
      </c>
      <c r="B268" s="4" t="s">
        <v>34</v>
      </c>
      <c r="C268" s="4"/>
      <c r="D268" s="7">
        <v>60.97</v>
      </c>
      <c r="E268" s="1">
        <f t="shared" si="16"/>
        <v>-1.867052953484635</v>
      </c>
      <c r="F268" s="1">
        <f t="shared" si="17"/>
        <v>-2.3542600896860968</v>
      </c>
      <c r="G268" s="1">
        <f t="shared" si="18"/>
        <v>4.5797598627787339</v>
      </c>
      <c r="H268" s="1">
        <f t="shared" si="15"/>
        <v>-5.340785592299329</v>
      </c>
    </row>
    <row r="269" spans="1:8">
      <c r="A269" s="8">
        <v>45959</v>
      </c>
      <c r="B269" s="4" t="s">
        <v>34</v>
      </c>
      <c r="C269" s="4"/>
      <c r="D269" s="7">
        <v>61.26</v>
      </c>
      <c r="E269" s="1">
        <f t="shared" si="16"/>
        <v>0.47564375922584734</v>
      </c>
      <c r="F269" s="1">
        <f t="shared" si="17"/>
        <v>-1.6219688453508994</v>
      </c>
      <c r="G269" s="1">
        <f t="shared" si="18"/>
        <v>5.0051422694549093</v>
      </c>
      <c r="H269" s="1">
        <f t="shared" si="15"/>
        <v>-4.1464559536848675</v>
      </c>
    </row>
    <row r="270" spans="1:8">
      <c r="A270" s="8">
        <v>45960</v>
      </c>
      <c r="B270" s="4" t="s">
        <v>34</v>
      </c>
      <c r="C270" s="4"/>
      <c r="D270" s="7">
        <v>61.36</v>
      </c>
      <c r="E270" s="1">
        <f t="shared" si="16"/>
        <v>0.16323865491348585</v>
      </c>
      <c r="F270" s="1">
        <f t="shared" si="17"/>
        <v>-1.2393368742958364</v>
      </c>
      <c r="G270" s="1">
        <f t="shared" si="18"/>
        <v>4.6027957722468518</v>
      </c>
      <c r="H270" s="1">
        <f t="shared" si="15"/>
        <v>-2.6340844176451976</v>
      </c>
    </row>
    <row r="271" spans="1:8">
      <c r="A271" s="8">
        <v>45961</v>
      </c>
      <c r="B271" s="4" t="s">
        <v>34</v>
      </c>
      <c r="C271" s="4"/>
      <c r="D271" s="7">
        <v>61.75</v>
      </c>
      <c r="E271" s="1">
        <f t="shared" si="16"/>
        <v>0.63559322033898391</v>
      </c>
      <c r="F271" s="1">
        <f t="shared" si="17"/>
        <v>1.2793176972281468</v>
      </c>
      <c r="G271" s="1">
        <f t="shared" si="18"/>
        <v>4.1315345699831418</v>
      </c>
      <c r="H271" s="1">
        <f t="shared" si="15"/>
        <v>-1.9685664391173234</v>
      </c>
    </row>
    <row r="272" spans="1:8">
      <c r="A272" s="8">
        <v>45964</v>
      </c>
      <c r="B272" s="4" t="s">
        <v>34</v>
      </c>
      <c r="C272" s="4"/>
      <c r="D272" s="7">
        <v>61.79</v>
      </c>
      <c r="E272" s="1">
        <f t="shared" si="16"/>
        <v>6.4777327935221299E-2</v>
      </c>
      <c r="F272" s="1">
        <f t="shared" si="17"/>
        <v>0.86516487104146456</v>
      </c>
      <c r="G272" s="1">
        <f t="shared" si="18"/>
        <v>-1.0409993593850075</v>
      </c>
      <c r="H272" s="1">
        <f t="shared" si="15"/>
        <v>-3.0897114178168112</v>
      </c>
    </row>
    <row r="273" spans="1:8">
      <c r="A273" s="8">
        <v>45965</v>
      </c>
      <c r="B273" s="4" t="s">
        <v>34</v>
      </c>
      <c r="C273" s="4"/>
      <c r="D273" s="7">
        <v>61.38</v>
      </c>
      <c r="E273" s="1">
        <f t="shared" si="16"/>
        <v>-0.66353778928628671</v>
      </c>
      <c r="F273" s="1">
        <f t="shared" si="17"/>
        <v>3.2594524119952943E-2</v>
      </c>
      <c r="G273" s="1">
        <f t="shared" si="18"/>
        <v>-1.4292596756062319</v>
      </c>
      <c r="H273" s="1">
        <f t="shared" si="15"/>
        <v>-6.1467889908256925</v>
      </c>
    </row>
    <row r="274" spans="1:8">
      <c r="A274" s="8">
        <v>45966</v>
      </c>
      <c r="B274" s="4" t="s">
        <v>34</v>
      </c>
      <c r="C274" s="4"/>
      <c r="D274" s="7">
        <v>60.4</v>
      </c>
      <c r="E274" s="1">
        <f t="shared" si="16"/>
        <v>-1.5966112740306353</v>
      </c>
      <c r="F274" s="1">
        <f t="shared" si="17"/>
        <v>-2.1862348178137676</v>
      </c>
      <c r="G274" s="1">
        <f t="shared" si="18"/>
        <v>-2.7844841461451857</v>
      </c>
      <c r="H274" s="1">
        <f t="shared" si="15"/>
        <v>-7.8003358265913691</v>
      </c>
    </row>
    <row r="275" spans="1:8">
      <c r="A275" s="8">
        <v>45967</v>
      </c>
      <c r="B275" s="4" t="s">
        <v>34</v>
      </c>
      <c r="C275" s="4"/>
      <c r="D275" s="7">
        <v>60.24</v>
      </c>
      <c r="E275" s="1">
        <f t="shared" si="16"/>
        <v>-0.26490066225164999</v>
      </c>
      <c r="F275" s="1">
        <f t="shared" si="17"/>
        <v>-2.5084965204725638</v>
      </c>
      <c r="G275" s="1">
        <f t="shared" si="18"/>
        <v>-1.1973101525340279</v>
      </c>
      <c r="H275" s="1">
        <f t="shared" si="15"/>
        <v>-9.4135338345864632</v>
      </c>
    </row>
    <row r="276" spans="1:8">
      <c r="A276" s="8">
        <v>45968</v>
      </c>
      <c r="B276" s="4" t="s">
        <v>34</v>
      </c>
      <c r="C276" s="4"/>
      <c r="D276" s="7">
        <v>60.54</v>
      </c>
      <c r="E276" s="1">
        <f t="shared" si="16"/>
        <v>0.49800796812748532</v>
      </c>
      <c r="F276" s="1">
        <f t="shared" si="17"/>
        <v>-1.3685239491691159</v>
      </c>
      <c r="G276" s="1">
        <f t="shared" si="18"/>
        <v>-1.1753183153770794</v>
      </c>
      <c r="H276" s="1">
        <f t="shared" si="15"/>
        <v>-5.8036408899953278</v>
      </c>
    </row>
    <row r="277" spans="1:8">
      <c r="A277" s="8">
        <v>45971</v>
      </c>
      <c r="B277" s="4" t="s">
        <v>34</v>
      </c>
      <c r="C277" s="4"/>
      <c r="D277" s="7">
        <v>60.94</v>
      </c>
      <c r="E277" s="1">
        <f t="shared" si="16"/>
        <v>0.66072018500164953</v>
      </c>
      <c r="F277" s="1">
        <f t="shared" si="17"/>
        <v>0.89403973509933643</v>
      </c>
      <c r="G277" s="1">
        <f t="shared" si="18"/>
        <v>-0.68448500651890765</v>
      </c>
      <c r="H277" s="1">
        <f t="shared" si="15"/>
        <v>-3.5301567199620134</v>
      </c>
    </row>
    <row r="278" spans="1:8">
      <c r="A278" s="8">
        <v>45973</v>
      </c>
      <c r="B278" s="4" t="s">
        <v>34</v>
      </c>
      <c r="C278" s="4"/>
      <c r="D278" s="7">
        <v>59.3</v>
      </c>
      <c r="E278" s="1">
        <f t="shared" si="16"/>
        <v>-2.6911716442402374</v>
      </c>
      <c r="F278" s="1">
        <f t="shared" si="17"/>
        <v>-1.5604249667994767</v>
      </c>
      <c r="G278" s="1">
        <f t="shared" si="18"/>
        <v>-3.9676113360323928</v>
      </c>
      <c r="H278" s="1">
        <f t="shared" si="15"/>
        <v>-5.2564307397347916</v>
      </c>
    </row>
    <row r="279" spans="1:8">
      <c r="A279" s="8">
        <v>45974</v>
      </c>
      <c r="B279" s="4" t="s">
        <v>34</v>
      </c>
      <c r="C279" s="4"/>
      <c r="D279" s="7">
        <v>59.54</v>
      </c>
      <c r="E279" s="1">
        <f t="shared" si="16"/>
        <v>0.40472175379426978</v>
      </c>
      <c r="F279" s="1">
        <f t="shared" si="17"/>
        <v>-1.6518004625041296</v>
      </c>
      <c r="G279" s="1">
        <f t="shared" si="18"/>
        <v>-3.641365916815019</v>
      </c>
      <c r="H279" s="1">
        <f t="shared" si="15"/>
        <v>-2.8394255874673662</v>
      </c>
    </row>
    <row r="280" spans="1:8">
      <c r="A280" s="8">
        <v>45975</v>
      </c>
      <c r="B280" s="4" t="s">
        <v>34</v>
      </c>
      <c r="C280" s="4"/>
      <c r="D280" s="7">
        <v>60.87</v>
      </c>
      <c r="E280" s="1">
        <f t="shared" si="16"/>
        <v>2.2337924084648946</v>
      </c>
      <c r="F280" s="1">
        <f t="shared" si="17"/>
        <v>-0.11486708237610811</v>
      </c>
      <c r="G280" s="1">
        <f t="shared" si="18"/>
        <v>-0.83088954056696818</v>
      </c>
      <c r="H280" s="1">
        <f t="shared" si="15"/>
        <v>-1.2652068126520701</v>
      </c>
    </row>
    <row r="281" spans="1:8">
      <c r="A281" s="8">
        <v>45978</v>
      </c>
      <c r="B281" s="4" t="s">
        <v>34</v>
      </c>
      <c r="C281" s="4"/>
      <c r="D281" s="7">
        <v>60.66</v>
      </c>
      <c r="E281" s="1">
        <f t="shared" si="16"/>
        <v>-0.34499753573188902</v>
      </c>
      <c r="F281" s="1">
        <f t="shared" si="17"/>
        <v>2.2934232715008425</v>
      </c>
      <c r="G281" s="1">
        <f t="shared" si="18"/>
        <v>0.4304635761589371</v>
      </c>
      <c r="H281" s="1">
        <f t="shared" si="15"/>
        <v>-2.9284685549688034</v>
      </c>
    </row>
    <row r="282" spans="1:8">
      <c r="A282" s="8">
        <v>45979</v>
      </c>
      <c r="B282" s="4" t="s">
        <v>34</v>
      </c>
      <c r="C282" s="4"/>
      <c r="D282" s="7">
        <v>61.51</v>
      </c>
      <c r="E282" s="1">
        <f t="shared" si="16"/>
        <v>1.4012528849324126</v>
      </c>
      <c r="F282" s="1">
        <f t="shared" si="17"/>
        <v>3.3087000335908612</v>
      </c>
      <c r="G282" s="1">
        <f t="shared" si="18"/>
        <v>2.1082337317397011</v>
      </c>
      <c r="H282" s="1">
        <f t="shared" si="15"/>
        <v>-1.6154830454254718</v>
      </c>
    </row>
    <row r="283" spans="1:8">
      <c r="A283" s="8">
        <v>45980</v>
      </c>
      <c r="B283" s="4" t="s">
        <v>34</v>
      </c>
      <c r="C283" s="4"/>
      <c r="D283" s="7">
        <v>60.27</v>
      </c>
      <c r="E283" s="1">
        <f t="shared" si="16"/>
        <v>-2.0159323687205251</v>
      </c>
      <c r="F283" s="1">
        <f t="shared" si="17"/>
        <v>-0.98570724494824113</v>
      </c>
      <c r="G283" s="1">
        <f t="shared" si="18"/>
        <v>-0.44598612487610834</v>
      </c>
      <c r="H283" s="1">
        <f t="shared" si="15"/>
        <v>-4.891904686760288</v>
      </c>
    </row>
    <row r="284" spans="1:8">
      <c r="A284" s="8">
        <v>45981</v>
      </c>
      <c r="B284" s="4" t="s">
        <v>34</v>
      </c>
      <c r="C284" s="4"/>
      <c r="D284" s="7">
        <v>60.07</v>
      </c>
      <c r="E284" s="1">
        <f t="shared" si="16"/>
        <v>-0.33184005309441322</v>
      </c>
      <c r="F284" s="1">
        <f t="shared" si="17"/>
        <v>-0.97263435542366694</v>
      </c>
      <c r="G284" s="1">
        <f t="shared" si="18"/>
        <v>-1.4276337381030479</v>
      </c>
      <c r="H284" s="1">
        <f t="shared" si="15"/>
        <v>-3.6722257857601011</v>
      </c>
    </row>
    <row r="285" spans="1:8">
      <c r="A285" s="8">
        <v>45982</v>
      </c>
      <c r="B285" s="4" t="s">
        <v>34</v>
      </c>
      <c r="C285" s="4"/>
      <c r="D285" s="7">
        <v>58.86</v>
      </c>
      <c r="E285" s="1">
        <f t="shared" si="16"/>
        <v>-2.0143166305976377</v>
      </c>
      <c r="F285" s="1">
        <f t="shared" si="17"/>
        <v>-4.3082425621850087</v>
      </c>
      <c r="G285" s="1">
        <f t="shared" si="18"/>
        <v>-0.74198988195615134</v>
      </c>
      <c r="H285" s="1">
        <f t="shared" si="15"/>
        <v>-1.4895397489539759</v>
      </c>
    </row>
    <row r="286" spans="1:8">
      <c r="A286" s="8">
        <v>45985</v>
      </c>
      <c r="B286" s="4" t="s">
        <v>34</v>
      </c>
      <c r="C286" s="4"/>
      <c r="D286" s="7">
        <v>59.11</v>
      </c>
      <c r="E286" s="1">
        <f t="shared" si="16"/>
        <v>0.42473666326877335</v>
      </c>
      <c r="F286" s="1">
        <f t="shared" si="17"/>
        <v>-1.9246723079475752</v>
      </c>
      <c r="G286" s="1">
        <f t="shared" si="18"/>
        <v>-0.72220356063150781</v>
      </c>
      <c r="H286" s="1">
        <f t="shared" si="15"/>
        <v>-0.68884408602151148</v>
      </c>
    </row>
    <row r="287" spans="1:8">
      <c r="A287" s="8">
        <v>45986</v>
      </c>
      <c r="B287" s="4" t="s">
        <v>34</v>
      </c>
      <c r="C287" s="4"/>
      <c r="D287" s="7">
        <v>58.25</v>
      </c>
      <c r="E287" s="1">
        <f t="shared" si="16"/>
        <v>-1.454914566063271</v>
      </c>
      <c r="F287" s="1">
        <f t="shared" si="17"/>
        <v>-3.0297985683369406</v>
      </c>
      <c r="G287" s="1">
        <f t="shared" si="18"/>
        <v>-4.3042549696073555</v>
      </c>
      <c r="H287" s="1">
        <f t="shared" ref="H287:H350" si="19">(D287-D259)/D259*100</f>
        <v>-1.4048747461069706</v>
      </c>
    </row>
    <row r="288" spans="1:8">
      <c r="A288" s="8">
        <v>45987</v>
      </c>
      <c r="B288" s="4" t="s">
        <v>34</v>
      </c>
      <c r="C288" s="4"/>
      <c r="D288" s="7">
        <v>58.81</v>
      </c>
      <c r="E288" s="1">
        <f t="shared" si="16"/>
        <v>0.96137339055794391</v>
      </c>
      <c r="F288" s="1">
        <f t="shared" si="17"/>
        <v>-8.4947332653749846E-2</v>
      </c>
      <c r="G288" s="1">
        <f t="shared" si="18"/>
        <v>-3.0497856907352365</v>
      </c>
      <c r="H288" s="1">
        <f t="shared" si="19"/>
        <v>0.89209126779894177</v>
      </c>
    </row>
    <row r="289" spans="1:8">
      <c r="A289" s="8">
        <v>45989</v>
      </c>
      <c r="B289" s="4" t="s">
        <v>34</v>
      </c>
      <c r="C289" s="4"/>
      <c r="D289" s="7">
        <v>58.58</v>
      </c>
      <c r="E289" s="1">
        <f t="shared" si="16"/>
        <v>-0.39108995068866514</v>
      </c>
      <c r="F289" s="1">
        <f t="shared" si="17"/>
        <v>-0.89663339536457642</v>
      </c>
      <c r="G289" s="1">
        <f t="shared" si="18"/>
        <v>-4.763453097057389</v>
      </c>
      <c r="H289" s="1">
        <f t="shared" si="19"/>
        <v>0.48027444253859541</v>
      </c>
    </row>
    <row r="290" spans="1:8">
      <c r="A290" s="8">
        <v>45992</v>
      </c>
      <c r="B290" s="4" t="s">
        <v>34</v>
      </c>
      <c r="C290" s="4" t="s">
        <v>30</v>
      </c>
      <c r="D290" s="7">
        <v>59.47</v>
      </c>
      <c r="E290" s="1">
        <f t="shared" si="16"/>
        <v>1.5192898600204858</v>
      </c>
      <c r="F290" s="1">
        <f t="shared" si="17"/>
        <v>2.094420600858367</v>
      </c>
      <c r="G290" s="1">
        <f t="shared" si="18"/>
        <v>-1.3273602123776409</v>
      </c>
      <c r="H290" s="1">
        <f t="shared" si="19"/>
        <v>1.9369214946863136</v>
      </c>
    </row>
    <row r="291" spans="1:8">
      <c r="A291" s="8">
        <v>45993</v>
      </c>
      <c r="B291" s="4" t="s">
        <v>34</v>
      </c>
      <c r="C291" s="4"/>
      <c r="D291" s="7">
        <v>58.81</v>
      </c>
      <c r="E291" s="1">
        <f t="shared" si="16"/>
        <v>-1.1098032621489771</v>
      </c>
      <c r="F291" s="1">
        <f t="shared" si="17"/>
        <v>0</v>
      </c>
      <c r="G291" s="1">
        <f t="shared" si="18"/>
        <v>-2.097552855002494</v>
      </c>
      <c r="H291" s="1">
        <f t="shared" si="19"/>
        <v>0.25571087623594563</v>
      </c>
    </row>
    <row r="292" spans="1:8">
      <c r="A292" s="8">
        <v>45994</v>
      </c>
      <c r="B292" s="4" t="s">
        <v>34</v>
      </c>
      <c r="C292" s="4"/>
      <c r="D292" s="7">
        <v>59.09</v>
      </c>
      <c r="E292" s="1">
        <f t="shared" si="16"/>
        <v>0.47610950518619477</v>
      </c>
      <c r="F292" s="1">
        <f t="shared" si="17"/>
        <v>0.8706043018095001</v>
      </c>
      <c r="G292" s="1">
        <f t="shared" si="18"/>
        <v>0.39075773020727822</v>
      </c>
      <c r="H292" s="1">
        <f t="shared" si="19"/>
        <v>-0.35413153456997259</v>
      </c>
    </row>
    <row r="293" spans="1:8">
      <c r="A293" s="8">
        <v>45995</v>
      </c>
      <c r="B293" s="4" t="s">
        <v>34</v>
      </c>
      <c r="C293" s="4"/>
      <c r="D293" s="7">
        <v>59.82</v>
      </c>
      <c r="E293" s="1">
        <f t="shared" si="16"/>
        <v>1.2354036215941731</v>
      </c>
      <c r="F293" s="1">
        <f t="shared" si="17"/>
        <v>0.58853203295779621</v>
      </c>
      <c r="G293" s="1">
        <f t="shared" si="18"/>
        <v>1.2011503975638655</v>
      </c>
      <c r="H293" s="1">
        <f t="shared" si="19"/>
        <v>-4.1960281870595733</v>
      </c>
    </row>
    <row r="294" spans="1:8">
      <c r="A294" s="8">
        <v>45996</v>
      </c>
      <c r="B294" s="4" t="s">
        <v>34</v>
      </c>
      <c r="C294" s="4"/>
      <c r="D294" s="7">
        <v>60.23</v>
      </c>
      <c r="E294" s="1">
        <f t="shared" si="16"/>
        <v>0.68538950183884417</v>
      </c>
      <c r="F294" s="1">
        <f t="shared" si="17"/>
        <v>2.4145553477299684</v>
      </c>
      <c r="G294" s="1">
        <f t="shared" si="18"/>
        <v>3.3991416309012821</v>
      </c>
      <c r="H294" s="1">
        <f t="shared" si="19"/>
        <v>-3.2760558856592361</v>
      </c>
    </row>
    <row r="295" spans="1:8">
      <c r="A295" s="8">
        <v>45999</v>
      </c>
      <c r="B295" s="4" t="s">
        <v>34</v>
      </c>
      <c r="C295" s="4"/>
      <c r="D295" s="7">
        <v>59.04</v>
      </c>
      <c r="E295" s="1">
        <f t="shared" si="16"/>
        <v>-1.9757595882450569</v>
      </c>
      <c r="F295" s="1">
        <f t="shared" si="17"/>
        <v>-8.4616686410567368E-2</v>
      </c>
      <c r="G295" s="1">
        <f t="shared" si="18"/>
        <v>0.3910899506886531</v>
      </c>
      <c r="H295" s="1">
        <f t="shared" si="19"/>
        <v>-4.9734427812650948</v>
      </c>
    </row>
    <row r="296" spans="1:8">
      <c r="A296" s="8">
        <v>46000</v>
      </c>
      <c r="B296" s="4" t="s">
        <v>34</v>
      </c>
      <c r="C296" s="4"/>
      <c r="D296" s="7">
        <v>58.4</v>
      </c>
      <c r="E296" s="1">
        <f t="shared" si="16"/>
        <v>-1.0840108401084021</v>
      </c>
      <c r="F296" s="1">
        <f t="shared" si="17"/>
        <v>-2.3737880307589463</v>
      </c>
      <c r="G296" s="1">
        <f t="shared" si="18"/>
        <v>-0.30727210652099646</v>
      </c>
      <c r="H296" s="1">
        <f t="shared" si="19"/>
        <v>-4.2151877972773502</v>
      </c>
    </row>
    <row r="297" spans="1:8">
      <c r="A297" s="8">
        <v>46001</v>
      </c>
      <c r="B297" s="4" t="s">
        <v>34</v>
      </c>
      <c r="C297" s="4"/>
      <c r="D297" s="7">
        <v>58.67</v>
      </c>
      <c r="E297" s="1">
        <f t="shared" si="16"/>
        <v>0.46232876712329307</v>
      </c>
      <c r="F297" s="1">
        <f t="shared" si="17"/>
        <v>-2.5900713929935169</v>
      </c>
      <c r="G297" s="1">
        <f t="shared" si="18"/>
        <v>-1.3452160753320956</v>
      </c>
      <c r="H297" s="1">
        <f t="shared" si="19"/>
        <v>-4.2278811622592176</v>
      </c>
    </row>
    <row r="298" spans="1:8">
      <c r="A298" s="8">
        <v>46002</v>
      </c>
      <c r="B298" s="4" t="s">
        <v>34</v>
      </c>
      <c r="C298" s="4"/>
      <c r="D298" s="7">
        <v>57.76</v>
      </c>
      <c r="E298" s="1">
        <f t="shared" si="16"/>
        <v>-1.5510482358956938</v>
      </c>
      <c r="F298" s="1">
        <f t="shared" si="17"/>
        <v>-2.1680216802168042</v>
      </c>
      <c r="G298" s="1">
        <f t="shared" si="18"/>
        <v>-1.7854106444482303</v>
      </c>
      <c r="H298" s="1">
        <f t="shared" si="19"/>
        <v>-5.8670143415906146</v>
      </c>
    </row>
    <row r="299" spans="1:8">
      <c r="A299" s="8">
        <v>46003</v>
      </c>
      <c r="B299" s="4" t="s">
        <v>34</v>
      </c>
      <c r="C299" s="4"/>
      <c r="D299" s="7">
        <v>57.61</v>
      </c>
      <c r="E299" s="1">
        <f t="shared" si="16"/>
        <v>-0.25969529085872334</v>
      </c>
      <c r="F299" s="1">
        <f t="shared" si="17"/>
        <v>-1.3527397260273959</v>
      </c>
      <c r="G299" s="1">
        <f t="shared" si="18"/>
        <v>-2.5046539177525875</v>
      </c>
      <c r="H299" s="1">
        <f t="shared" si="19"/>
        <v>-6.7044534412955477</v>
      </c>
    </row>
    <row r="300" spans="1:8">
      <c r="A300" s="8">
        <v>46006</v>
      </c>
      <c r="B300" s="4" t="s">
        <v>34</v>
      </c>
      <c r="C300" s="4"/>
      <c r="D300" s="7">
        <v>56.97</v>
      </c>
      <c r="E300" s="1">
        <f t="shared" si="16"/>
        <v>-1.1109182433605287</v>
      </c>
      <c r="F300" s="1">
        <f t="shared" si="17"/>
        <v>-2.8975626384864546</v>
      </c>
      <c r="G300" s="1">
        <f t="shared" si="18"/>
        <v>-4.76429287863591</v>
      </c>
      <c r="H300" s="1">
        <f t="shared" si="19"/>
        <v>-7.8006149862437297</v>
      </c>
    </row>
    <row r="301" spans="1:8">
      <c r="A301" s="8">
        <v>46007</v>
      </c>
      <c r="B301" s="4" t="s">
        <v>34</v>
      </c>
      <c r="C301" s="4"/>
      <c r="D301" s="7">
        <v>55.44</v>
      </c>
      <c r="E301" s="1">
        <f t="shared" si="16"/>
        <v>-2.6856240126382329</v>
      </c>
      <c r="F301" s="1">
        <f t="shared" si="17"/>
        <v>-4.0166204986149587</v>
      </c>
      <c r="G301" s="1">
        <f t="shared" si="18"/>
        <v>-7.9528474182301165</v>
      </c>
      <c r="H301" s="1">
        <f t="shared" si="19"/>
        <v>-9.6774193548387171</v>
      </c>
    </row>
    <row r="302" spans="1:8">
      <c r="A302" s="8">
        <v>46008</v>
      </c>
      <c r="B302" s="4" t="s">
        <v>34</v>
      </c>
      <c r="C302" s="4"/>
      <c r="D302" s="7">
        <v>56.07</v>
      </c>
      <c r="E302" s="1">
        <f t="shared" si="16"/>
        <v>1.1363636363636411</v>
      </c>
      <c r="F302" s="1">
        <f t="shared" si="17"/>
        <v>-2.6731470230862682</v>
      </c>
      <c r="G302" s="1">
        <f t="shared" si="18"/>
        <v>-5.0304878048780468</v>
      </c>
      <c r="H302" s="1">
        <f t="shared" si="19"/>
        <v>-7.1688741721854283</v>
      </c>
    </row>
    <row r="303" spans="1:8">
      <c r="A303" s="8">
        <v>46009</v>
      </c>
      <c r="B303" s="4" t="s">
        <v>34</v>
      </c>
      <c r="C303" s="4"/>
      <c r="D303" s="7">
        <v>56.22</v>
      </c>
      <c r="E303" s="1">
        <f t="shared" si="16"/>
        <v>0.26752273943284927</v>
      </c>
      <c r="F303" s="1">
        <f t="shared" si="17"/>
        <v>-1.3164823591363874</v>
      </c>
      <c r="G303" s="1">
        <f t="shared" si="18"/>
        <v>-3.7328767123287672</v>
      </c>
      <c r="H303" s="1">
        <f t="shared" si="19"/>
        <v>-6.6733067729083722</v>
      </c>
    </row>
    <row r="304" spans="1:8">
      <c r="A304" s="8">
        <v>46010</v>
      </c>
      <c r="B304" s="4" t="s">
        <v>34</v>
      </c>
      <c r="C304" s="4"/>
      <c r="D304" s="7">
        <v>56.8</v>
      </c>
      <c r="E304" s="1">
        <f t="shared" si="16"/>
        <v>1.0316613304873681</v>
      </c>
      <c r="F304" s="1">
        <f t="shared" si="17"/>
        <v>2.4531024531024523</v>
      </c>
      <c r="G304" s="1">
        <f t="shared" si="18"/>
        <v>-3.1873189023351025</v>
      </c>
      <c r="H304" s="1">
        <f t="shared" si="19"/>
        <v>-6.177733729765448</v>
      </c>
    </row>
    <row r="305" spans="1:8">
      <c r="A305" s="8">
        <v>46013</v>
      </c>
      <c r="B305" s="4" t="s">
        <v>34</v>
      </c>
      <c r="C305" s="4"/>
      <c r="D305" s="7">
        <v>58.18</v>
      </c>
      <c r="E305" s="1">
        <f t="shared" si="16"/>
        <v>2.4295774647887369</v>
      </c>
      <c r="F305" s="1">
        <f t="shared" si="17"/>
        <v>3.7631532013554474</v>
      </c>
      <c r="G305" s="1">
        <f t="shared" si="18"/>
        <v>0.72714681440443507</v>
      </c>
      <c r="H305" s="1">
        <f t="shared" si="19"/>
        <v>-4.5290449622579558</v>
      </c>
    </row>
    <row r="306" spans="1:8">
      <c r="A306" s="8">
        <v>46014</v>
      </c>
      <c r="B306" s="4" t="s">
        <v>34</v>
      </c>
      <c r="C306" s="4"/>
      <c r="D306" s="7">
        <v>58.55</v>
      </c>
      <c r="E306" s="1">
        <f t="shared" si="16"/>
        <v>0.63595737366792271</v>
      </c>
      <c r="F306" s="1">
        <f t="shared" si="17"/>
        <v>4.1444325862682287</v>
      </c>
      <c r="G306" s="1">
        <f t="shared" si="18"/>
        <v>1.6316611699357713</v>
      </c>
      <c r="H306" s="1">
        <f t="shared" si="19"/>
        <v>-1.2647554806070826</v>
      </c>
    </row>
    <row r="307" spans="1:8">
      <c r="A307" s="8">
        <v>46015</v>
      </c>
      <c r="B307" s="4" t="s">
        <v>34</v>
      </c>
      <c r="C307" s="4"/>
      <c r="D307" s="7">
        <v>58.72</v>
      </c>
      <c r="E307" s="1">
        <f t="shared" si="16"/>
        <v>0.29035012809564764</v>
      </c>
      <c r="F307" s="1">
        <f t="shared" si="17"/>
        <v>3.3802816901408481</v>
      </c>
      <c r="G307" s="1">
        <f t="shared" si="18"/>
        <v>3.0717921713182377</v>
      </c>
      <c r="H307" s="1">
        <f t="shared" si="19"/>
        <v>-1.3772253946926443</v>
      </c>
    </row>
    <row r="308" spans="1:8">
      <c r="A308" s="8">
        <v>46017</v>
      </c>
      <c r="B308" s="4" t="s">
        <v>34</v>
      </c>
      <c r="C308" s="4"/>
      <c r="D308" s="7">
        <v>56.6</v>
      </c>
      <c r="E308" s="1">
        <f t="shared" si="16"/>
        <v>-3.6103542234332382</v>
      </c>
      <c r="F308" s="1">
        <f t="shared" si="17"/>
        <v>-2.7157098659333077</v>
      </c>
      <c r="G308" s="1">
        <f t="shared" si="18"/>
        <v>2.0923520923520988</v>
      </c>
      <c r="H308" s="1">
        <f t="shared" si="19"/>
        <v>-7.014949893215042</v>
      </c>
    </row>
    <row r="309" spans="1:8">
      <c r="A309" s="8">
        <v>46020</v>
      </c>
      <c r="B309" s="4" t="s">
        <v>34</v>
      </c>
      <c r="C309" s="4"/>
      <c r="D309" s="7">
        <v>57.89</v>
      </c>
      <c r="E309" s="1">
        <f t="shared" si="16"/>
        <v>2.279151943462896</v>
      </c>
      <c r="F309" s="1">
        <f t="shared" si="17"/>
        <v>-1.1272416737830855</v>
      </c>
      <c r="G309" s="1">
        <f t="shared" si="18"/>
        <v>3.2459425717852688</v>
      </c>
      <c r="H309" s="1">
        <f t="shared" si="19"/>
        <v>-4.566435872073848</v>
      </c>
    </row>
    <row r="310" spans="1:8">
      <c r="A310" s="8">
        <v>46021</v>
      </c>
      <c r="B310" s="4" t="s">
        <v>34</v>
      </c>
      <c r="C310" s="4"/>
      <c r="D310" s="7">
        <v>57.79</v>
      </c>
      <c r="E310" s="1">
        <f t="shared" si="16"/>
        <v>-0.17274140611504823</v>
      </c>
      <c r="F310" s="1">
        <f t="shared" si="17"/>
        <v>-1.5837874659400539</v>
      </c>
      <c r="G310" s="1">
        <f t="shared" si="18"/>
        <v>2.7926004980434014</v>
      </c>
      <c r="H310" s="1">
        <f t="shared" si="19"/>
        <v>-6.0477971061615978</v>
      </c>
    </row>
    <row r="311" spans="1:8">
      <c r="A311" s="8">
        <v>46022</v>
      </c>
      <c r="B311" s="4" t="s">
        <v>34</v>
      </c>
      <c r="C311" s="4"/>
      <c r="D311" s="7">
        <v>57.26</v>
      </c>
      <c r="E311" s="1">
        <f t="shared" si="16"/>
        <v>-0.91711368748918687</v>
      </c>
      <c r="F311" s="1">
        <f t="shared" si="17"/>
        <v>1.1660777385158951</v>
      </c>
      <c r="G311" s="1">
        <f t="shared" si="18"/>
        <v>0.80985915492957894</v>
      </c>
      <c r="H311" s="1">
        <f t="shared" si="19"/>
        <v>-4.9941927990708557</v>
      </c>
    </row>
    <row r="312" spans="1:8">
      <c r="A312" s="8">
        <v>46024</v>
      </c>
      <c r="B312" s="4" t="s">
        <v>10</v>
      </c>
      <c r="C312" s="4" t="s">
        <v>20</v>
      </c>
      <c r="D312" s="7">
        <v>57.21</v>
      </c>
      <c r="E312" s="1">
        <f t="shared" si="16"/>
        <v>-8.7320991966463771E-2</v>
      </c>
      <c r="F312" s="1">
        <f t="shared" si="17"/>
        <v>-1.1746415615823107</v>
      </c>
      <c r="G312" s="1">
        <f t="shared" si="18"/>
        <v>-1.6672396012375368</v>
      </c>
      <c r="H312" s="1">
        <f t="shared" si="19"/>
        <v>-4.7611120359580479</v>
      </c>
    </row>
    <row r="313" spans="1:8">
      <c r="A313" s="8">
        <v>46027</v>
      </c>
      <c r="B313" s="4" t="s">
        <v>10</v>
      </c>
      <c r="C313" s="4"/>
      <c r="D313" s="7">
        <v>58.1</v>
      </c>
      <c r="E313" s="1">
        <f t="shared" si="16"/>
        <v>1.5556720852997739</v>
      </c>
      <c r="F313" s="1">
        <f t="shared" si="17"/>
        <v>0.53642498702198005</v>
      </c>
      <c r="G313" s="1">
        <f t="shared" si="18"/>
        <v>-0.7685738684884641</v>
      </c>
      <c r="H313" s="1">
        <f t="shared" si="19"/>
        <v>-1.2911994563370677</v>
      </c>
    </row>
    <row r="314" spans="1:8">
      <c r="A314" s="8">
        <v>46028</v>
      </c>
      <c r="B314" s="4" t="s">
        <v>10</v>
      </c>
      <c r="C314" s="4"/>
      <c r="D314" s="7">
        <v>56.97</v>
      </c>
      <c r="E314" s="1">
        <f t="shared" si="16"/>
        <v>-1.9449225473321903</v>
      </c>
      <c r="F314" s="1">
        <f t="shared" si="17"/>
        <v>-0.50646175340551725</v>
      </c>
      <c r="G314" s="1">
        <f t="shared" si="18"/>
        <v>-2.9802452316076296</v>
      </c>
      <c r="H314" s="1">
        <f t="shared" si="19"/>
        <v>-3.6203688039248867</v>
      </c>
    </row>
    <row r="315" spans="1:8">
      <c r="A315" s="8">
        <v>46029</v>
      </c>
      <c r="B315" s="4" t="s">
        <v>10</v>
      </c>
      <c r="C315" s="4"/>
      <c r="D315" s="7">
        <v>56.01</v>
      </c>
      <c r="E315" s="1">
        <f t="shared" si="16"/>
        <v>-1.6850974196945776</v>
      </c>
      <c r="F315" s="1">
        <f t="shared" si="17"/>
        <v>-2.0975353959098109</v>
      </c>
      <c r="G315" s="1">
        <f t="shared" si="18"/>
        <v>-1.0424028268551295</v>
      </c>
      <c r="H315" s="1">
        <f t="shared" si="19"/>
        <v>-3.8454935622317632</v>
      </c>
    </row>
    <row r="316" spans="1:8">
      <c r="A316" s="8">
        <v>46030</v>
      </c>
      <c r="B316" s="4" t="s">
        <v>10</v>
      </c>
      <c r="C316" s="4"/>
      <c r="D316" s="7">
        <v>57.74</v>
      </c>
      <c r="E316" s="1">
        <f t="shared" si="16"/>
        <v>3.0887341546152545</v>
      </c>
      <c r="F316" s="1">
        <f t="shared" si="17"/>
        <v>-0.61962134251290779</v>
      </c>
      <c r="G316" s="1">
        <f t="shared" si="18"/>
        <v>-0.25911210917256622</v>
      </c>
      <c r="H316" s="1">
        <f t="shared" si="19"/>
        <v>-1.8194184662472375</v>
      </c>
    </row>
    <row r="317" spans="1:8">
      <c r="A317" s="8">
        <v>46031</v>
      </c>
      <c r="B317" s="4" t="s">
        <v>10</v>
      </c>
      <c r="C317" s="4"/>
      <c r="D317" s="7">
        <v>58.96</v>
      </c>
      <c r="E317" s="1">
        <f t="shared" si="16"/>
        <v>2.1129199861447847</v>
      </c>
      <c r="F317" s="1">
        <f t="shared" si="17"/>
        <v>3.493066526241885</v>
      </c>
      <c r="G317" s="1">
        <f t="shared" si="18"/>
        <v>2.0245717252119775</v>
      </c>
      <c r="H317" s="1">
        <f t="shared" si="19"/>
        <v>0.64868555821099794</v>
      </c>
    </row>
    <row r="318" spans="1:8">
      <c r="A318" s="8">
        <v>46034</v>
      </c>
      <c r="B318" s="4" t="s">
        <v>10</v>
      </c>
      <c r="C318" s="4"/>
      <c r="D318" s="7">
        <v>59.39</v>
      </c>
      <c r="E318" s="1">
        <f t="shared" si="16"/>
        <v>0.72930800542740792</v>
      </c>
      <c r="F318" s="1">
        <f t="shared" si="17"/>
        <v>6.0346366720228577</v>
      </c>
      <c r="G318" s="1">
        <f t="shared" si="18"/>
        <v>3.7198742577715729</v>
      </c>
      <c r="H318" s="1">
        <f t="shared" si="19"/>
        <v>-0.13452160753320716</v>
      </c>
    </row>
    <row r="319" spans="1:8">
      <c r="A319" s="8">
        <v>46035</v>
      </c>
      <c r="B319" s="4" t="s">
        <v>10</v>
      </c>
      <c r="C319" s="4"/>
      <c r="D319" s="7">
        <v>60.85</v>
      </c>
      <c r="E319" s="1">
        <f t="shared" si="16"/>
        <v>2.4583263175618804</v>
      </c>
      <c r="F319" s="1">
        <f t="shared" si="17"/>
        <v>5.3862140630412183</v>
      </c>
      <c r="G319" s="1">
        <f t="shared" si="18"/>
        <v>6.3625240342597467</v>
      </c>
      <c r="H319" s="1">
        <f t="shared" si="19"/>
        <v>3.4687978234994032</v>
      </c>
    </row>
    <row r="320" spans="1:8">
      <c r="A320" s="8">
        <v>46036</v>
      </c>
      <c r="B320" s="4" t="s">
        <v>10</v>
      </c>
      <c r="C320" s="4"/>
      <c r="D320" s="7">
        <v>61.84</v>
      </c>
      <c r="E320" s="1">
        <f t="shared" si="16"/>
        <v>1.6269515201314741</v>
      </c>
      <c r="F320" s="1">
        <f t="shared" si="17"/>
        <v>4.8846675712347398</v>
      </c>
      <c r="G320" s="1">
        <f t="shared" si="18"/>
        <v>6.4371772805507783</v>
      </c>
      <c r="H320" s="1">
        <f t="shared" si="19"/>
        <v>4.6539177525808082</v>
      </c>
    </row>
    <row r="321" spans="1:8">
      <c r="A321" s="8">
        <v>46037</v>
      </c>
      <c r="B321" s="4" t="s">
        <v>8</v>
      </c>
      <c r="C321" s="4" t="s">
        <v>9</v>
      </c>
      <c r="D321" s="7">
        <v>59.13</v>
      </c>
      <c r="E321" s="1">
        <f t="shared" si="16"/>
        <v>-4.3822768434670127</v>
      </c>
      <c r="F321" s="1">
        <f t="shared" si="17"/>
        <v>-0.43778413874389294</v>
      </c>
      <c r="G321" s="1">
        <f t="shared" si="18"/>
        <v>3.7914691943128029</v>
      </c>
      <c r="H321" s="1">
        <f t="shared" si="19"/>
        <v>-1.1534603811434265</v>
      </c>
    </row>
    <row r="322" spans="1:8">
      <c r="A322" s="8">
        <v>46038</v>
      </c>
      <c r="B322" s="4" t="s">
        <v>8</v>
      </c>
      <c r="C322" s="4"/>
      <c r="D322" s="7">
        <v>59.4</v>
      </c>
      <c r="E322" s="1">
        <f t="shared" si="16"/>
        <v>0.45662100456620325</v>
      </c>
      <c r="F322" s="1">
        <f t="shared" si="17"/>
        <v>-2.3829087921117549</v>
      </c>
      <c r="G322" s="1">
        <f t="shared" si="18"/>
        <v>6.0524906266738094</v>
      </c>
      <c r="H322" s="1">
        <f t="shared" si="19"/>
        <v>-1.3780508052465521</v>
      </c>
    </row>
    <row r="323" spans="1:8">
      <c r="A323" s="8">
        <v>46042</v>
      </c>
      <c r="B323" s="4" t="s">
        <v>8</v>
      </c>
      <c r="C323" s="4"/>
      <c r="D323" s="7">
        <v>60.3</v>
      </c>
      <c r="E323" s="1">
        <f t="shared" si="16"/>
        <v>1.5151515151515127</v>
      </c>
      <c r="F323" s="1">
        <f t="shared" si="17"/>
        <v>-2.4902975420439946</v>
      </c>
      <c r="G323" s="1">
        <f t="shared" si="18"/>
        <v>4.4336681676480696</v>
      </c>
      <c r="H323" s="1">
        <f t="shared" si="19"/>
        <v>2.1341463414634112</v>
      </c>
    </row>
    <row r="324" spans="1:8">
      <c r="A324" s="8">
        <v>46043</v>
      </c>
      <c r="B324" s="4" t="s">
        <v>8</v>
      </c>
      <c r="C324" s="4"/>
      <c r="D324" s="7">
        <v>60.38</v>
      </c>
      <c r="E324" s="1">
        <f t="shared" ref="E324:E381" si="20">(D324-D323)/D323 * 100</f>
        <v>0.13266998341626102</v>
      </c>
      <c r="F324" s="1">
        <f t="shared" si="17"/>
        <v>2.1139861322509725</v>
      </c>
      <c r="G324" s="1">
        <f t="shared" si="18"/>
        <v>2.4084124830393518</v>
      </c>
      <c r="H324" s="1">
        <f t="shared" si="19"/>
        <v>3.3904109589041163</v>
      </c>
    </row>
    <row r="325" spans="1:8">
      <c r="A325" s="8">
        <v>46044</v>
      </c>
      <c r="B325" s="4" t="s">
        <v>8</v>
      </c>
      <c r="C325" s="4"/>
      <c r="D325" s="7">
        <v>59.24</v>
      </c>
      <c r="E325" s="1">
        <f t="shared" si="20"/>
        <v>-1.888042398145082</v>
      </c>
      <c r="F325" s="1">
        <f t="shared" si="17"/>
        <v>-0.26936026936026358</v>
      </c>
      <c r="G325" s="1">
        <f t="shared" si="18"/>
        <v>-0.25256777235224548</v>
      </c>
      <c r="H325" s="1">
        <f t="shared" si="19"/>
        <v>0.9715357081983983</v>
      </c>
    </row>
    <row r="326" spans="1:8">
      <c r="A326" s="8">
        <v>46045</v>
      </c>
      <c r="B326" s="4" t="s">
        <v>8</v>
      </c>
      <c r="C326" s="4"/>
      <c r="D326" s="7">
        <v>60.7</v>
      </c>
      <c r="E326" s="1">
        <f t="shared" si="20"/>
        <v>2.4645509790681985</v>
      </c>
      <c r="F326" s="1">
        <f t="shared" ref="F326:F381" si="21">(D326-D323)/D323*100</f>
        <v>0.66334991708126978</v>
      </c>
      <c r="G326" s="1">
        <f t="shared" si="18"/>
        <v>-0.24650780608052353</v>
      </c>
      <c r="H326" s="1">
        <f t="shared" si="19"/>
        <v>5.0900277008310333</v>
      </c>
    </row>
    <row r="327" spans="1:8">
      <c r="A327" s="8">
        <v>46048</v>
      </c>
      <c r="B327" s="4" t="s">
        <v>8</v>
      </c>
      <c r="C327" s="4"/>
      <c r="D327" s="7">
        <v>60.46</v>
      </c>
      <c r="E327" s="1">
        <f t="shared" si="20"/>
        <v>-0.39538714991763091</v>
      </c>
      <c r="F327" s="1">
        <f t="shared" si="21"/>
        <v>0.13249420337859935</v>
      </c>
      <c r="G327" s="1">
        <f t="shared" si="18"/>
        <v>-2.2315653298835745</v>
      </c>
      <c r="H327" s="1">
        <f t="shared" si="19"/>
        <v>4.9470578024648519</v>
      </c>
    </row>
    <row r="328" spans="1:8">
      <c r="A328" s="8">
        <v>46049</v>
      </c>
      <c r="B328" s="4" t="s">
        <v>8</v>
      </c>
      <c r="C328" s="4"/>
      <c r="D328" s="7">
        <v>62.04</v>
      </c>
      <c r="E328" s="1">
        <f t="shared" si="20"/>
        <v>2.6132980482963917</v>
      </c>
      <c r="F328" s="1">
        <f t="shared" si="21"/>
        <v>4.7265361242403738</v>
      </c>
      <c r="G328" s="1">
        <f t="shared" si="18"/>
        <v>4.921359715880258</v>
      </c>
      <c r="H328" s="1">
        <f t="shared" si="19"/>
        <v>8.8994207477619813</v>
      </c>
    </row>
    <row r="329" spans="1:8">
      <c r="A329" s="8">
        <v>46050</v>
      </c>
      <c r="B329" s="4" t="s">
        <v>8</v>
      </c>
      <c r="C329" s="4"/>
      <c r="D329" s="7">
        <v>62.75</v>
      </c>
      <c r="E329" s="1">
        <f t="shared" si="20"/>
        <v>1.1444229529335925</v>
      </c>
      <c r="F329" s="1">
        <f t="shared" si="21"/>
        <v>3.3772652388797315</v>
      </c>
      <c r="G329" s="1">
        <f t="shared" si="18"/>
        <v>5.6397306397306428</v>
      </c>
      <c r="H329" s="1">
        <f t="shared" si="19"/>
        <v>13.185425685425688</v>
      </c>
    </row>
    <row r="330" spans="1:8">
      <c r="A330" s="8">
        <v>46051</v>
      </c>
      <c r="B330" s="4" t="s">
        <v>8</v>
      </c>
      <c r="C330" s="4"/>
      <c r="D330" s="7">
        <v>64.77</v>
      </c>
      <c r="E330" s="1">
        <f t="shared" si="20"/>
        <v>3.2191235059760896</v>
      </c>
      <c r="F330" s="1">
        <f t="shared" si="21"/>
        <v>7.1286801190869911</v>
      </c>
      <c r="G330" s="1">
        <f t="shared" ref="G330:G381" si="22">(D330-D323)/D323*100</f>
        <v>7.4129353233830821</v>
      </c>
      <c r="H330" s="1">
        <f t="shared" si="19"/>
        <v>15.516318887105395</v>
      </c>
    </row>
    <row r="331" spans="1:8">
      <c r="A331" s="8">
        <v>46052</v>
      </c>
      <c r="B331" s="4" t="s">
        <v>8</v>
      </c>
      <c r="C331" s="4"/>
      <c r="D331" s="7">
        <v>64.5</v>
      </c>
      <c r="E331" s="1">
        <f t="shared" si="20"/>
        <v>-0.41685965724872021</v>
      </c>
      <c r="F331" s="1">
        <f t="shared" si="21"/>
        <v>3.9651837524177966</v>
      </c>
      <c r="G331" s="1">
        <f t="shared" si="22"/>
        <v>6.8234514739980083</v>
      </c>
      <c r="H331" s="1">
        <f t="shared" si="19"/>
        <v>14.727854855923162</v>
      </c>
    </row>
    <row r="332" spans="1:8">
      <c r="A332" s="8">
        <v>46055</v>
      </c>
      <c r="B332" s="4" t="s">
        <v>8</v>
      </c>
      <c r="C332" s="4"/>
      <c r="D332" s="7">
        <v>61.6</v>
      </c>
      <c r="E332" s="1">
        <f t="shared" si="20"/>
        <v>-4.4961240310077502</v>
      </c>
      <c r="F332" s="1">
        <f t="shared" si="21"/>
        <v>-1.8326693227091611</v>
      </c>
      <c r="G332" s="1">
        <f t="shared" si="22"/>
        <v>3.9837947332883177</v>
      </c>
      <c r="H332" s="1">
        <f t="shared" si="19"/>
        <v>8.450704225352121</v>
      </c>
    </row>
    <row r="333" spans="1:8">
      <c r="A333" s="8">
        <v>46056</v>
      </c>
      <c r="B333" s="4" t="s">
        <v>8</v>
      </c>
      <c r="C333" s="4"/>
      <c r="D333" s="7">
        <v>62.62</v>
      </c>
      <c r="E333" s="1">
        <f t="shared" si="20"/>
        <v>1.6558441558441495</v>
      </c>
      <c r="F333" s="1">
        <f t="shared" si="21"/>
        <v>-3.3194380114250404</v>
      </c>
      <c r="G333" s="1">
        <f t="shared" si="22"/>
        <v>3.1630971993410126</v>
      </c>
      <c r="H333" s="1">
        <f t="shared" si="19"/>
        <v>7.6314884840151214</v>
      </c>
    </row>
    <row r="334" spans="1:8">
      <c r="A334" s="8">
        <v>46057</v>
      </c>
      <c r="B334" s="4" t="s">
        <v>8</v>
      </c>
      <c r="C334" s="4"/>
      <c r="D334" s="7">
        <v>64.56</v>
      </c>
      <c r="E334" s="1">
        <f t="shared" si="20"/>
        <v>3.0980517406579446</v>
      </c>
      <c r="F334" s="1">
        <f t="shared" si="21"/>
        <v>9.3023255813957012E-2</v>
      </c>
      <c r="G334" s="1">
        <f t="shared" si="22"/>
        <v>6.7813430367184946</v>
      </c>
      <c r="H334" s="1">
        <f t="shared" si="19"/>
        <v>10.264730999146037</v>
      </c>
    </row>
    <row r="335" spans="1:8">
      <c r="A335" s="8">
        <v>46058</v>
      </c>
      <c r="B335" s="4" t="s">
        <v>8</v>
      </c>
      <c r="C335" s="4"/>
      <c r="D335" s="7">
        <v>62.9</v>
      </c>
      <c r="E335" s="1">
        <f t="shared" si="20"/>
        <v>-2.571251548946722</v>
      </c>
      <c r="F335" s="1">
        <f t="shared" si="21"/>
        <v>2.110389610389606</v>
      </c>
      <c r="G335" s="1">
        <f t="shared" si="22"/>
        <v>1.3862024500322363</v>
      </c>
      <c r="H335" s="1">
        <f t="shared" si="19"/>
        <v>7.1185286103542227</v>
      </c>
    </row>
    <row r="336" spans="1:8">
      <c r="A336" s="8">
        <v>46059</v>
      </c>
      <c r="B336" s="4" t="s">
        <v>8</v>
      </c>
      <c r="C336" s="4"/>
      <c r="D336" s="7">
        <v>63.77</v>
      </c>
      <c r="E336" s="1">
        <f t="shared" si="20"/>
        <v>1.3831478537360962</v>
      </c>
      <c r="F336" s="1">
        <f t="shared" si="21"/>
        <v>1.836473969977652</v>
      </c>
      <c r="G336" s="1">
        <f t="shared" si="22"/>
        <v>1.6254980079681327</v>
      </c>
      <c r="H336" s="1">
        <f t="shared" si="19"/>
        <v>12.667844522968199</v>
      </c>
    </row>
    <row r="337" spans="1:8">
      <c r="A337" s="8">
        <v>46062</v>
      </c>
      <c r="B337" s="4" t="s">
        <v>8</v>
      </c>
      <c r="C337" s="4"/>
      <c r="D337" s="7">
        <v>64.53</v>
      </c>
      <c r="E337" s="1">
        <f t="shared" si="20"/>
        <v>1.1917829700486091</v>
      </c>
      <c r="F337" s="1">
        <f t="shared" si="21"/>
        <v>-4.6468401486990607E-2</v>
      </c>
      <c r="G337" s="1">
        <f t="shared" si="22"/>
        <v>-0.37054191755441551</v>
      </c>
      <c r="H337" s="1">
        <f t="shared" si="19"/>
        <v>11.470029366039041</v>
      </c>
    </row>
    <row r="338" spans="1:8">
      <c r="A338" s="8">
        <v>46063</v>
      </c>
      <c r="B338" s="4" t="s">
        <v>8</v>
      </c>
      <c r="C338" s="4"/>
      <c r="D338" s="7">
        <v>64.2</v>
      </c>
      <c r="E338" s="1">
        <f t="shared" si="20"/>
        <v>-0.51139005113900238</v>
      </c>
      <c r="F338" s="1">
        <f t="shared" si="21"/>
        <v>2.0667726550079557</v>
      </c>
      <c r="G338" s="1">
        <f t="shared" si="22"/>
        <v>-0.46511627906976299</v>
      </c>
      <c r="H338" s="1">
        <f t="shared" si="19"/>
        <v>11.091884409067319</v>
      </c>
    </row>
    <row r="339" spans="1:8">
      <c r="A339" s="8">
        <v>46064</v>
      </c>
      <c r="B339" s="4" t="s">
        <v>8</v>
      </c>
      <c r="C339" s="4"/>
      <c r="D339" s="7">
        <v>64.8</v>
      </c>
      <c r="E339" s="1">
        <f t="shared" si="20"/>
        <v>0.93457943925232756</v>
      </c>
      <c r="F339" s="1">
        <f t="shared" si="21"/>
        <v>1.6151795515132412</v>
      </c>
      <c r="G339" s="1">
        <f t="shared" si="22"/>
        <v>5.1948051948051877</v>
      </c>
      <c r="H339" s="1">
        <f t="shared" si="19"/>
        <v>13.168005588543485</v>
      </c>
    </row>
    <row r="340" spans="1:8">
      <c r="A340" s="8">
        <v>46065</v>
      </c>
      <c r="B340" s="4" t="s">
        <v>8</v>
      </c>
      <c r="C340" s="4"/>
      <c r="D340" s="7">
        <v>63.08</v>
      </c>
      <c r="E340" s="1">
        <f t="shared" si="20"/>
        <v>-2.6543209876543195</v>
      </c>
      <c r="F340" s="1">
        <f t="shared" si="21"/>
        <v>-2.2470168913683604</v>
      </c>
      <c r="G340" s="1">
        <f t="shared" si="22"/>
        <v>0.73458958799105856</v>
      </c>
      <c r="H340" s="1">
        <f t="shared" si="19"/>
        <v>10.260443978325464</v>
      </c>
    </row>
    <row r="341" spans="1:8">
      <c r="A341" s="8">
        <v>46066</v>
      </c>
      <c r="B341" s="4" t="s">
        <v>8</v>
      </c>
      <c r="C341" s="4"/>
      <c r="D341" s="7">
        <v>63.05</v>
      </c>
      <c r="E341" s="1">
        <f t="shared" si="20"/>
        <v>-4.7558655675334717E-2</v>
      </c>
      <c r="F341" s="1">
        <f t="shared" si="21"/>
        <v>-1.7912772585669872</v>
      </c>
      <c r="G341" s="1">
        <f t="shared" si="22"/>
        <v>-2.33890954151178</v>
      </c>
      <c r="H341" s="1">
        <f t="shared" si="19"/>
        <v>8.5197934595524885</v>
      </c>
    </row>
    <row r="342" spans="1:8">
      <c r="A342" s="8">
        <v>46070</v>
      </c>
      <c r="B342" s="4" t="s">
        <v>8</v>
      </c>
      <c r="C342" s="4"/>
      <c r="D342" s="7">
        <v>62.53</v>
      </c>
      <c r="E342" s="1">
        <f t="shared" si="20"/>
        <v>-0.82474226804123085</v>
      </c>
      <c r="F342" s="1">
        <f t="shared" si="21"/>
        <v>-3.5030864197530804</v>
      </c>
      <c r="G342" s="1">
        <f t="shared" si="22"/>
        <v>-0.58823529411764297</v>
      </c>
      <c r="H342" s="1">
        <f t="shared" si="19"/>
        <v>9.7595225557310918</v>
      </c>
    </row>
    <row r="343" spans="1:8">
      <c r="A343" s="8">
        <v>46071</v>
      </c>
      <c r="B343" s="4" t="s">
        <v>8</v>
      </c>
      <c r="C343" s="4"/>
      <c r="D343" s="7">
        <v>65.33</v>
      </c>
      <c r="E343" s="1">
        <f t="shared" si="20"/>
        <v>4.4778506316967812</v>
      </c>
      <c r="F343" s="1">
        <f t="shared" si="21"/>
        <v>3.5668991756499686</v>
      </c>
      <c r="G343" s="1">
        <f t="shared" si="22"/>
        <v>2.4462913595734594</v>
      </c>
      <c r="H343" s="1">
        <f t="shared" si="19"/>
        <v>16.639885734690235</v>
      </c>
    </row>
    <row r="344" spans="1:8">
      <c r="A344" s="8">
        <v>46072</v>
      </c>
      <c r="B344" s="4" t="s">
        <v>8</v>
      </c>
      <c r="C344" s="4"/>
      <c r="D344" s="7">
        <v>66.66</v>
      </c>
      <c r="E344" s="1">
        <f t="shared" si="20"/>
        <v>2.0358181539874458</v>
      </c>
      <c r="F344" s="1">
        <f t="shared" si="21"/>
        <v>5.7256145915939722</v>
      </c>
      <c r="G344" s="1">
        <f t="shared" si="22"/>
        <v>3.300790330079026</v>
      </c>
      <c r="H344" s="1">
        <f t="shared" si="19"/>
        <v>15.448562521648759</v>
      </c>
    </row>
    <row r="345" spans="1:8">
      <c r="A345" s="8">
        <v>46073</v>
      </c>
      <c r="B345" s="4" t="s">
        <v>34</v>
      </c>
      <c r="C345" s="4" t="s">
        <v>26</v>
      </c>
      <c r="D345" s="7">
        <v>66.69</v>
      </c>
      <c r="E345" s="1">
        <f t="shared" si="20"/>
        <v>4.5004500450046711E-2</v>
      </c>
      <c r="F345" s="1">
        <f t="shared" si="21"/>
        <v>6.6528066528066478</v>
      </c>
      <c r="G345" s="1">
        <f t="shared" si="22"/>
        <v>3.8785046728971881</v>
      </c>
      <c r="H345" s="1">
        <f t="shared" si="19"/>
        <v>13.110583446404336</v>
      </c>
    </row>
    <row r="346" spans="1:8">
      <c r="A346" s="8">
        <v>46076</v>
      </c>
      <c r="B346" s="4" t="s">
        <v>34</v>
      </c>
      <c r="C346" s="4"/>
      <c r="D346" s="7">
        <v>66.36</v>
      </c>
      <c r="E346" s="1">
        <f t="shared" si="20"/>
        <v>-0.49482681061628175</v>
      </c>
      <c r="F346" s="1">
        <f t="shared" si="21"/>
        <v>1.5766110515842664</v>
      </c>
      <c r="G346" s="1">
        <f t="shared" si="22"/>
        <v>2.407407407407411</v>
      </c>
      <c r="H346" s="1">
        <f t="shared" si="19"/>
        <v>11.735982488634448</v>
      </c>
    </row>
    <row r="347" spans="1:8">
      <c r="A347" s="8">
        <v>46077</v>
      </c>
      <c r="B347" s="4" t="s">
        <v>34</v>
      </c>
      <c r="C347" s="4"/>
      <c r="D347" s="7">
        <v>65.62</v>
      </c>
      <c r="E347" s="1">
        <f t="shared" si="20"/>
        <v>-1.1151295961422467</v>
      </c>
      <c r="F347" s="1">
        <f t="shared" si="21"/>
        <v>-1.5601560156015482</v>
      </c>
      <c r="G347" s="1">
        <f t="shared" si="22"/>
        <v>4.0266328471781963</v>
      </c>
      <c r="H347" s="1">
        <f t="shared" si="19"/>
        <v>7.8389482333607274</v>
      </c>
    </row>
    <row r="348" spans="1:8">
      <c r="A348" s="8">
        <v>46078</v>
      </c>
      <c r="B348" s="4" t="s">
        <v>34</v>
      </c>
      <c r="C348" s="4"/>
      <c r="D348" s="7">
        <v>65.3</v>
      </c>
      <c r="E348" s="1">
        <f t="shared" si="20"/>
        <v>-0.4876562023773352</v>
      </c>
      <c r="F348" s="1">
        <f t="shared" si="21"/>
        <v>-2.0842705053231376</v>
      </c>
      <c r="G348" s="1">
        <f t="shared" si="22"/>
        <v>3.5685963521015074</v>
      </c>
      <c r="H348" s="1">
        <f t="shared" si="19"/>
        <v>5.5950840879689423</v>
      </c>
    </row>
    <row r="349" spans="1:8">
      <c r="A349" s="8">
        <v>46079</v>
      </c>
      <c r="B349" s="4" t="s">
        <v>34</v>
      </c>
      <c r="C349" s="4"/>
      <c r="D349" s="7">
        <v>65.099999999999994</v>
      </c>
      <c r="E349" s="1">
        <f t="shared" si="20"/>
        <v>-0.30627871362940712</v>
      </c>
      <c r="F349" s="1">
        <f t="shared" si="21"/>
        <v>-1.8987341772151975</v>
      </c>
      <c r="G349" s="1">
        <f t="shared" si="22"/>
        <v>4.1100271869502523</v>
      </c>
      <c r="H349" s="1">
        <f t="shared" si="19"/>
        <v>10.096397767630631</v>
      </c>
    </row>
    <row r="350" spans="1:8">
      <c r="A350" s="8">
        <v>46080</v>
      </c>
      <c r="B350" s="4" t="s">
        <v>10</v>
      </c>
      <c r="C350" s="4" t="s">
        <v>24</v>
      </c>
      <c r="D350" s="7">
        <v>66.959999999999994</v>
      </c>
      <c r="E350" s="1">
        <f t="shared" si="20"/>
        <v>2.8571428571428563</v>
      </c>
      <c r="F350" s="1">
        <f t="shared" si="21"/>
        <v>2.0420603474550276</v>
      </c>
      <c r="G350" s="1">
        <f t="shared" si="22"/>
        <v>2.4950252563906252</v>
      </c>
      <c r="H350" s="1">
        <f t="shared" si="19"/>
        <v>12.72727272727272</v>
      </c>
    </row>
    <row r="351" spans="1:8">
      <c r="A351" s="8">
        <v>46083</v>
      </c>
      <c r="B351" s="4" t="s">
        <v>10</v>
      </c>
      <c r="C351" s="4"/>
      <c r="D351" s="7">
        <v>71.13</v>
      </c>
      <c r="E351" s="1">
        <f t="shared" si="20"/>
        <v>6.2275985663082469</v>
      </c>
      <c r="F351" s="1">
        <f t="shared" si="21"/>
        <v>8.9280245022970881</v>
      </c>
      <c r="G351" s="1">
        <f t="shared" si="22"/>
        <v>6.7056705670567043</v>
      </c>
      <c r="H351" s="1">
        <f t="shared" ref="H351:H381" si="23">(D351-D323)/D323*100</f>
        <v>17.960199004975124</v>
      </c>
    </row>
    <row r="352" spans="1:8">
      <c r="A352" s="8">
        <v>46084</v>
      </c>
      <c r="B352" s="4" t="s">
        <v>10</v>
      </c>
      <c r="C352" s="4"/>
      <c r="D352" s="7">
        <v>74.48</v>
      </c>
      <c r="E352" s="1">
        <f t="shared" si="20"/>
        <v>4.7096864895262316</v>
      </c>
      <c r="F352" s="1">
        <f t="shared" si="21"/>
        <v>14.40860215053765</v>
      </c>
      <c r="G352" s="1">
        <f t="shared" si="22"/>
        <v>11.68091168091169</v>
      </c>
      <c r="H352" s="1">
        <f t="shared" si="23"/>
        <v>23.352103345478636</v>
      </c>
    </row>
    <row r="353" spans="1:8">
      <c r="A353" s="8">
        <v>46085</v>
      </c>
      <c r="B353" s="4" t="s">
        <v>10</v>
      </c>
      <c r="C353" s="4"/>
      <c r="D353" s="7">
        <v>74.58</v>
      </c>
      <c r="E353" s="1">
        <f t="shared" si="20"/>
        <v>0.13426423200858528</v>
      </c>
      <c r="F353" s="1">
        <f t="shared" si="21"/>
        <v>11.379928315412194</v>
      </c>
      <c r="G353" s="1">
        <f t="shared" si="22"/>
        <v>12.386980108499095</v>
      </c>
      <c r="H353" s="1">
        <f t="shared" si="23"/>
        <v>25.894665766374064</v>
      </c>
    </row>
    <row r="354" spans="1:8">
      <c r="A354" s="8">
        <v>46086</v>
      </c>
      <c r="B354" s="4" t="s">
        <v>10</v>
      </c>
      <c r="C354" s="4" t="s">
        <v>27</v>
      </c>
      <c r="D354" s="7">
        <v>80.88</v>
      </c>
      <c r="E354" s="1">
        <f t="shared" si="20"/>
        <v>8.4473049074818949</v>
      </c>
      <c r="F354" s="1">
        <f t="shared" si="21"/>
        <v>13.707296499367356</v>
      </c>
      <c r="G354" s="1">
        <f t="shared" si="22"/>
        <v>23.255105150868623</v>
      </c>
      <c r="H354" s="1">
        <f t="shared" si="23"/>
        <v>33.245469522240512</v>
      </c>
    </row>
    <row r="355" spans="1:8">
      <c r="A355" s="8">
        <v>46087</v>
      </c>
      <c r="B355" s="4" t="s">
        <v>10</v>
      </c>
      <c r="C355" s="4"/>
      <c r="D355" s="7">
        <v>90.77</v>
      </c>
      <c r="E355" s="1">
        <f t="shared" si="20"/>
        <v>12.227992087042534</v>
      </c>
      <c r="F355" s="1">
        <f t="shared" si="21"/>
        <v>21.871643394199776</v>
      </c>
      <c r="G355" s="1">
        <f t="shared" si="22"/>
        <v>39.004594180704437</v>
      </c>
      <c r="H355" s="1">
        <f t="shared" si="23"/>
        <v>50.132318888521333</v>
      </c>
    </row>
    <row r="356" spans="1:8">
      <c r="A356" s="8">
        <v>46090</v>
      </c>
      <c r="B356" s="4" t="s">
        <v>10</v>
      </c>
      <c r="C356" s="4"/>
      <c r="D356" s="7">
        <v>94.65</v>
      </c>
      <c r="E356" s="1">
        <f t="shared" si="20"/>
        <v>4.274540046270805</v>
      </c>
      <c r="F356" s="1">
        <f t="shared" si="21"/>
        <v>26.910699919549486</v>
      </c>
      <c r="G356" s="1">
        <f t="shared" si="22"/>
        <v>45.391705069124441</v>
      </c>
      <c r="H356" s="1">
        <f t="shared" si="23"/>
        <v>52.562862669245661</v>
      </c>
    </row>
    <row r="357" spans="1:8">
      <c r="A357" s="8">
        <v>46091</v>
      </c>
      <c r="B357" s="4" t="s">
        <v>10</v>
      </c>
      <c r="C357" s="4" t="s">
        <v>31</v>
      </c>
      <c r="D357" s="7">
        <v>83.71</v>
      </c>
      <c r="E357" s="1">
        <f t="shared" si="20"/>
        <v>-11.558372952984692</v>
      </c>
      <c r="F357" s="1">
        <f t="shared" si="21"/>
        <v>3.4990108803165167</v>
      </c>
      <c r="G357" s="1">
        <f t="shared" si="22"/>
        <v>25.014934289127837</v>
      </c>
      <c r="H357" s="1">
        <f t="shared" si="23"/>
        <v>33.402390438247004</v>
      </c>
    </row>
    <row r="358" spans="1:8">
      <c r="A358" s="8">
        <v>46092</v>
      </c>
      <c r="B358" s="4" t="s">
        <v>10</v>
      </c>
      <c r="C358" s="4"/>
      <c r="D358" s="7">
        <v>86.8</v>
      </c>
      <c r="E358" s="1">
        <f t="shared" si="20"/>
        <v>3.6913152550471908</v>
      </c>
      <c r="F358" s="1">
        <f t="shared" si="21"/>
        <v>-4.3736917483750126</v>
      </c>
      <c r="G358" s="1">
        <f t="shared" si="22"/>
        <v>22.03008575847041</v>
      </c>
      <c r="H358" s="1">
        <f t="shared" si="23"/>
        <v>34.012660182183112</v>
      </c>
    </row>
    <row r="359" spans="1:8">
      <c r="A359" s="8">
        <v>46093</v>
      </c>
      <c r="B359" s="4" t="s">
        <v>10</v>
      </c>
      <c r="C359" s="4"/>
      <c r="D359" s="7">
        <v>95.61</v>
      </c>
      <c r="E359" s="1">
        <f t="shared" si="20"/>
        <v>10.149769585253459</v>
      </c>
      <c r="F359" s="1">
        <f t="shared" si="21"/>
        <v>1.0142630744849379</v>
      </c>
      <c r="G359" s="1">
        <f t="shared" si="22"/>
        <v>28.370032223415677</v>
      </c>
      <c r="H359" s="1">
        <f t="shared" si="23"/>
        <v>48.232558139534881</v>
      </c>
    </row>
    <row r="360" spans="1:8">
      <c r="A360" s="8">
        <v>46094</v>
      </c>
      <c r="B360" s="4" t="s">
        <v>10</v>
      </c>
      <c r="C360" s="4"/>
      <c r="D360" s="7">
        <v>98.48</v>
      </c>
      <c r="E360" s="1">
        <f t="shared" si="20"/>
        <v>3.0017780566886358</v>
      </c>
      <c r="F360" s="1">
        <f t="shared" si="21"/>
        <v>17.644247999044332</v>
      </c>
      <c r="G360" s="1">
        <f t="shared" si="22"/>
        <v>32.046124966478956</v>
      </c>
      <c r="H360" s="1">
        <f t="shared" si="23"/>
        <v>59.870129870129873</v>
      </c>
    </row>
    <row r="361" spans="1:8">
      <c r="A361" s="8">
        <v>46097</v>
      </c>
      <c r="B361" s="4" t="s">
        <v>10</v>
      </c>
      <c r="C361" s="4"/>
      <c r="D361" s="7">
        <v>93.39</v>
      </c>
      <c r="E361" s="1">
        <f t="shared" si="20"/>
        <v>-5.1685621445978915</v>
      </c>
      <c r="F361" s="1">
        <f t="shared" si="21"/>
        <v>7.592165898617516</v>
      </c>
      <c r="G361" s="1">
        <f t="shared" si="22"/>
        <v>15.467359050445111</v>
      </c>
      <c r="H361" s="1">
        <f t="shared" si="23"/>
        <v>49.137655701053987</v>
      </c>
    </row>
    <row r="362" spans="1:8">
      <c r="A362" s="8">
        <v>46098</v>
      </c>
      <c r="B362" s="4" t="s">
        <v>10</v>
      </c>
      <c r="C362" s="4"/>
      <c r="D362" s="7">
        <v>96.01</v>
      </c>
      <c r="E362" s="1">
        <f t="shared" si="20"/>
        <v>2.805439554556167</v>
      </c>
      <c r="F362" s="1">
        <f t="shared" si="21"/>
        <v>0.41836627967786388</v>
      </c>
      <c r="G362" s="1">
        <f t="shared" si="22"/>
        <v>5.7728324336234547</v>
      </c>
      <c r="H362" s="1">
        <f t="shared" si="23"/>
        <v>48.714374225526647</v>
      </c>
    </row>
    <row r="363" spans="1:8">
      <c r="A363" s="8">
        <v>46099</v>
      </c>
      <c r="B363" s="4" t="s">
        <v>10</v>
      </c>
      <c r="C363" s="4"/>
      <c r="D363" s="7">
        <v>96.12</v>
      </c>
      <c r="E363" s="1">
        <f t="shared" si="20"/>
        <v>0.11457139881262308</v>
      </c>
      <c r="F363" s="1">
        <f t="shared" si="21"/>
        <v>-2.3964256701868392</v>
      </c>
      <c r="G363" s="1">
        <f t="shared" si="22"/>
        <v>1.55309033280507</v>
      </c>
      <c r="H363" s="1">
        <f t="shared" si="23"/>
        <v>52.813990461049301</v>
      </c>
    </row>
    <row r="364" spans="1:8">
      <c r="A364" s="8">
        <v>46100</v>
      </c>
      <c r="B364" s="4" t="s">
        <v>10</v>
      </c>
      <c r="C364" s="4"/>
      <c r="D364" s="7">
        <v>96.11</v>
      </c>
      <c r="E364" s="1">
        <f t="shared" si="20"/>
        <v>-1.040366208906067E-2</v>
      </c>
      <c r="F364" s="1">
        <f t="shared" si="21"/>
        <v>2.9125174001499077</v>
      </c>
      <c r="G364" s="1">
        <f t="shared" si="22"/>
        <v>14.813045036435321</v>
      </c>
      <c r="H364" s="1">
        <f t="shared" si="23"/>
        <v>50.713501646542255</v>
      </c>
    </row>
    <row r="365" spans="1:8">
      <c r="A365" s="8">
        <v>46101</v>
      </c>
      <c r="B365" s="4" t="s">
        <v>10</v>
      </c>
      <c r="C365" s="4" t="s">
        <v>25</v>
      </c>
      <c r="D365" s="7">
        <v>98.71</v>
      </c>
      <c r="E365" s="1">
        <f t="shared" si="20"/>
        <v>2.7052335865154453</v>
      </c>
      <c r="F365" s="1">
        <f t="shared" si="21"/>
        <v>2.8122070617643877</v>
      </c>
      <c r="G365" s="1">
        <f t="shared" si="22"/>
        <v>13.721198156682025</v>
      </c>
      <c r="H365" s="1">
        <f t="shared" si="23"/>
        <v>52.967611963427849</v>
      </c>
    </row>
    <row r="366" spans="1:8">
      <c r="A366" s="8">
        <v>46104</v>
      </c>
      <c r="B366" s="4" t="s">
        <v>10</v>
      </c>
      <c r="C366" s="4" t="s">
        <v>14</v>
      </c>
      <c r="D366" s="7">
        <v>89.33</v>
      </c>
      <c r="E366" s="1">
        <f t="shared" si="20"/>
        <v>-9.5025833248910914</v>
      </c>
      <c r="F366" s="1">
        <f t="shared" si="21"/>
        <v>-7.0640865584685866</v>
      </c>
      <c r="G366" s="1">
        <f t="shared" si="22"/>
        <v>-6.5683505909423703</v>
      </c>
      <c r="H366" s="1">
        <f t="shared" si="23"/>
        <v>39.143302180685353</v>
      </c>
    </row>
    <row r="367" spans="1:8">
      <c r="A367" s="8">
        <v>46105</v>
      </c>
      <c r="B367" s="4" t="s">
        <v>10</v>
      </c>
      <c r="C367" s="4"/>
      <c r="D367" s="7">
        <v>93.18</v>
      </c>
      <c r="E367" s="1">
        <f t="shared" si="20"/>
        <v>4.3098623082950951</v>
      </c>
      <c r="F367" s="1">
        <f t="shared" si="21"/>
        <v>-3.0485901571116352</v>
      </c>
      <c r="G367" s="1">
        <f t="shared" si="22"/>
        <v>-5.3818034118602736</v>
      </c>
      <c r="H367" s="1">
        <f t="shared" si="23"/>
        <v>43.796296296296312</v>
      </c>
    </row>
    <row r="368" spans="1:8">
      <c r="A368" s="8">
        <v>46106</v>
      </c>
      <c r="B368" s="4" t="s">
        <v>10</v>
      </c>
      <c r="C368" s="4"/>
      <c r="D368" s="7">
        <v>91.51</v>
      </c>
      <c r="E368" s="1">
        <f t="shared" si="20"/>
        <v>-1.7922300922944854</v>
      </c>
      <c r="F368" s="1">
        <f t="shared" si="21"/>
        <v>-7.2940938101509367</v>
      </c>
      <c r="G368" s="1">
        <f t="shared" si="22"/>
        <v>-2.0130634971624319</v>
      </c>
      <c r="H368" s="1">
        <f t="shared" si="23"/>
        <v>45.069752694990498</v>
      </c>
    </row>
    <row r="369" spans="1:8">
      <c r="A369" s="8">
        <v>46107</v>
      </c>
      <c r="B369" s="4" t="s">
        <v>10</v>
      </c>
      <c r="C369" s="4"/>
      <c r="D369" s="7">
        <v>96.18</v>
      </c>
      <c r="E369" s="1">
        <f t="shared" si="20"/>
        <v>5.1032674024696769</v>
      </c>
      <c r="F369" s="1">
        <f t="shared" si="21"/>
        <v>7.668196574499059</v>
      </c>
      <c r="G369" s="1">
        <f t="shared" si="22"/>
        <v>0.17706488907405657</v>
      </c>
      <c r="H369" s="1">
        <f t="shared" si="23"/>
        <v>52.545598731165754</v>
      </c>
    </row>
    <row r="370" spans="1:8">
      <c r="A370" s="8">
        <v>46108</v>
      </c>
      <c r="B370" s="4" t="s">
        <v>10</v>
      </c>
      <c r="C370" s="4" t="s">
        <v>28</v>
      </c>
      <c r="D370" s="7">
        <v>101.26</v>
      </c>
      <c r="E370" s="1">
        <f t="shared" si="20"/>
        <v>5.2817633603659786</v>
      </c>
      <c r="F370" s="1">
        <f t="shared" si="21"/>
        <v>8.6713887100236064</v>
      </c>
      <c r="G370" s="1">
        <f t="shared" si="22"/>
        <v>5.3474823137744485</v>
      </c>
      <c r="H370" s="1">
        <f t="shared" si="23"/>
        <v>61.938269630577324</v>
      </c>
    </row>
    <row r="371" spans="1:8">
      <c r="A371" s="8">
        <v>46111</v>
      </c>
      <c r="B371" s="4" t="s">
        <v>10</v>
      </c>
      <c r="C371" s="4"/>
      <c r="D371" s="7">
        <v>104.69</v>
      </c>
      <c r="E371" s="1">
        <f t="shared" si="20"/>
        <v>3.3873197708868186</v>
      </c>
      <c r="F371" s="1">
        <f t="shared" si="21"/>
        <v>14.402797508469012</v>
      </c>
      <c r="G371" s="1">
        <f t="shared" si="22"/>
        <v>8.9272708355009858</v>
      </c>
      <c r="H371" s="1">
        <f t="shared" si="23"/>
        <v>60.247971835297719</v>
      </c>
    </row>
    <row r="372" spans="1:8">
      <c r="A372" s="8">
        <v>46112</v>
      </c>
      <c r="B372" s="4" t="s">
        <v>10</v>
      </c>
      <c r="C372" s="4"/>
      <c r="D372" s="7">
        <v>102.86</v>
      </c>
      <c r="E372" s="1">
        <f t="shared" si="20"/>
        <v>-1.7480179577801112</v>
      </c>
      <c r="F372" s="1">
        <f t="shared" si="21"/>
        <v>6.945310875441872</v>
      </c>
      <c r="G372" s="1">
        <f t="shared" si="22"/>
        <v>4.204234626684233</v>
      </c>
      <c r="H372" s="1">
        <f t="shared" si="23"/>
        <v>54.305430543054314</v>
      </c>
    </row>
    <row r="373" spans="1:8">
      <c r="A373" s="8">
        <v>46113</v>
      </c>
      <c r="B373" s="4" t="s">
        <v>10</v>
      </c>
      <c r="C373" s="4" t="s">
        <v>15</v>
      </c>
      <c r="D373" s="7">
        <v>101.9</v>
      </c>
      <c r="E373" s="1">
        <f t="shared" si="20"/>
        <v>-0.93330740812754587</v>
      </c>
      <c r="F373" s="1">
        <f t="shared" si="21"/>
        <v>0.63203634208967074</v>
      </c>
      <c r="G373" s="1">
        <f t="shared" si="22"/>
        <v>14.071420575394614</v>
      </c>
      <c r="H373" s="1">
        <f t="shared" si="23"/>
        <v>52.796521217573869</v>
      </c>
    </row>
    <row r="374" spans="1:8">
      <c r="A374" s="8">
        <v>46114</v>
      </c>
      <c r="B374" s="4" t="s">
        <v>10</v>
      </c>
      <c r="C374" s="4"/>
      <c r="D374" s="7">
        <v>113.23</v>
      </c>
      <c r="E374" s="1">
        <f t="shared" si="20"/>
        <v>11.118743866535818</v>
      </c>
      <c r="F374" s="1">
        <f t="shared" si="21"/>
        <v>8.157417136307199</v>
      </c>
      <c r="G374" s="1">
        <f t="shared" si="22"/>
        <v>21.517493024254129</v>
      </c>
      <c r="H374" s="1">
        <f t="shared" si="23"/>
        <v>70.629897528631716</v>
      </c>
    </row>
    <row r="375" spans="1:8">
      <c r="A375" s="8">
        <v>46115</v>
      </c>
      <c r="B375" s="4" t="s">
        <v>10</v>
      </c>
      <c r="C375" s="4"/>
      <c r="D375" s="7">
        <v>111.54</v>
      </c>
      <c r="E375" s="1">
        <f t="shared" si="20"/>
        <v>-1.4925373134328337</v>
      </c>
      <c r="F375" s="1">
        <f t="shared" si="21"/>
        <v>8.438654481819956</v>
      </c>
      <c r="G375" s="1">
        <f t="shared" si="22"/>
        <v>21.888318216588353</v>
      </c>
      <c r="H375" s="1">
        <f t="shared" si="23"/>
        <v>69.978665041145987</v>
      </c>
    </row>
    <row r="376" spans="1:8">
      <c r="A376" s="8">
        <v>46118</v>
      </c>
      <c r="B376" s="4" t="s">
        <v>10</v>
      </c>
      <c r="C376" s="4"/>
      <c r="D376" s="7">
        <v>114.01</v>
      </c>
      <c r="E376" s="1">
        <f t="shared" si="20"/>
        <v>2.2144522144522134</v>
      </c>
      <c r="F376" s="1">
        <f t="shared" si="21"/>
        <v>11.884200196270852</v>
      </c>
      <c r="G376" s="1">
        <f t="shared" si="22"/>
        <v>18.538157621127048</v>
      </c>
      <c r="H376" s="1">
        <f t="shared" si="23"/>
        <v>74.594180704441058</v>
      </c>
    </row>
    <row r="377" spans="1:8">
      <c r="A377" s="8">
        <v>46119</v>
      </c>
      <c r="B377" s="4" t="s">
        <v>10</v>
      </c>
      <c r="C377" s="4"/>
      <c r="D377" s="7">
        <v>114.58</v>
      </c>
      <c r="E377" s="1">
        <f t="shared" si="20"/>
        <v>0.49995614419787138</v>
      </c>
      <c r="F377" s="1">
        <f t="shared" si="21"/>
        <v>1.1922635343990058</v>
      </c>
      <c r="G377" s="1">
        <f t="shared" si="22"/>
        <v>13.154256369741251</v>
      </c>
      <c r="H377" s="1">
        <f t="shared" si="23"/>
        <v>76.006144393241186</v>
      </c>
    </row>
    <row r="378" spans="1:8">
      <c r="A378" s="8">
        <v>46120</v>
      </c>
      <c r="B378" s="4" t="s">
        <v>10</v>
      </c>
      <c r="C378" s="4" t="s">
        <v>16</v>
      </c>
      <c r="D378" s="7">
        <v>96.17</v>
      </c>
      <c r="E378" s="1">
        <f t="shared" si="20"/>
        <v>-16.067376505498341</v>
      </c>
      <c r="F378" s="1">
        <f t="shared" si="21"/>
        <v>-13.77980993365609</v>
      </c>
      <c r="G378" s="1">
        <f t="shared" si="22"/>
        <v>-8.1383131149106855</v>
      </c>
      <c r="H378" s="1">
        <f t="shared" si="23"/>
        <v>43.623058542413396</v>
      </c>
    </row>
    <row r="379" spans="1:8">
      <c r="A379" s="8">
        <v>46121</v>
      </c>
      <c r="B379" s="4" t="s">
        <v>10</v>
      </c>
      <c r="C379" s="4"/>
      <c r="D379" s="7">
        <v>99.62</v>
      </c>
      <c r="E379" s="1">
        <f t="shared" si="20"/>
        <v>3.5873973172507045</v>
      </c>
      <c r="F379" s="1">
        <f t="shared" si="21"/>
        <v>-12.621699850890272</v>
      </c>
      <c r="G379" s="1">
        <f t="shared" si="22"/>
        <v>-3.149912502430483</v>
      </c>
      <c r="H379" s="1">
        <f t="shared" si="23"/>
        <v>40.053423309433441</v>
      </c>
    </row>
    <row r="380" spans="1:8">
      <c r="A380" s="8">
        <v>46122</v>
      </c>
      <c r="B380" s="4" t="s">
        <v>10</v>
      </c>
      <c r="C380" s="4" t="s">
        <v>32</v>
      </c>
      <c r="D380" s="7">
        <v>98.34</v>
      </c>
      <c r="E380" s="1">
        <f t="shared" si="20"/>
        <v>-1.2848825537040764</v>
      </c>
      <c r="F380" s="1">
        <f t="shared" si="21"/>
        <v>-14.173503229184844</v>
      </c>
      <c r="G380" s="1">
        <f t="shared" si="22"/>
        <v>-3.4936211972522098</v>
      </c>
      <c r="H380" s="1">
        <f t="shared" si="23"/>
        <v>32.035445757250265</v>
      </c>
    </row>
    <row r="381" spans="1:8">
      <c r="A381" s="8">
        <v>46125</v>
      </c>
      <c r="B381" s="4" t="s">
        <v>10</v>
      </c>
      <c r="C381" s="4" t="s">
        <v>29</v>
      </c>
      <c r="D381" s="7">
        <v>100.72</v>
      </c>
      <c r="E381" s="1">
        <f t="shared" si="20"/>
        <v>2.4201749033963753</v>
      </c>
      <c r="F381" s="1">
        <f t="shared" si="21"/>
        <v>4.7312051575335312</v>
      </c>
      <c r="G381" s="1">
        <f t="shared" si="22"/>
        <v>-11.048308752097505</v>
      </c>
      <c r="H381" s="1">
        <f t="shared" si="23"/>
        <v>35.049611155805849</v>
      </c>
    </row>
    <row r="382" spans="1:8">
      <c r="A382" s="8">
        <v>46126</v>
      </c>
      <c r="B382" s="4" t="s">
        <v>10</v>
      </c>
      <c r="C382" s="4" t="s">
        <v>17</v>
      </c>
      <c r="D382" s="7">
        <v>92.1</v>
      </c>
      <c r="E382" s="1">
        <f t="shared" ref="E382:E390" si="24">(D382-D381)/D381 * 100</f>
        <v>-8.5583796664019101</v>
      </c>
      <c r="F382" s="1">
        <f t="shared" ref="F382:F390" si="25">(D382-D379)/D379*100</f>
        <v>-7.5486850030114532</v>
      </c>
      <c r="G382" s="1">
        <f t="shared" ref="G382:G390" si="26">(D382-D375)/D375*100</f>
        <v>-17.428725121032823</v>
      </c>
      <c r="H382" s="1">
        <f t="shared" ref="H382:H390" si="27">(D382-D354)/D354*100</f>
        <v>13.872403560830859</v>
      </c>
    </row>
    <row r="383" spans="1:8">
      <c r="A383" s="8">
        <v>46127</v>
      </c>
      <c r="B383" s="4" t="s">
        <v>10</v>
      </c>
      <c r="C383" s="3"/>
      <c r="D383" s="7">
        <v>93.04</v>
      </c>
      <c r="E383" s="1">
        <f t="shared" si="24"/>
        <v>1.0206297502714572</v>
      </c>
      <c r="F383" s="1">
        <f t="shared" si="25"/>
        <v>-5.3894651210087421</v>
      </c>
      <c r="G383" s="1">
        <f t="shared" si="26"/>
        <v>-18.393123410227172</v>
      </c>
      <c r="H383" s="1">
        <f t="shared" si="27"/>
        <v>2.5008262641842132</v>
      </c>
    </row>
    <row r="384" spans="1:8">
      <c r="A384" s="8">
        <v>46128</v>
      </c>
      <c r="B384" s="4" t="s">
        <v>11</v>
      </c>
      <c r="C384" s="4" t="s">
        <v>18</v>
      </c>
      <c r="D384" s="7">
        <v>100.72</v>
      </c>
      <c r="E384" s="1">
        <f t="shared" si="24"/>
        <v>8.2545141874462509</v>
      </c>
      <c r="F384" s="1">
        <f t="shared" si="25"/>
        <v>0</v>
      </c>
      <c r="G384" s="1">
        <f t="shared" si="26"/>
        <v>-12.096351893873276</v>
      </c>
      <c r="H384" s="1">
        <f t="shared" si="27"/>
        <v>6.4131008980454238</v>
      </c>
    </row>
    <row r="385" spans="1:8">
      <c r="A385" s="8">
        <v>46129</v>
      </c>
      <c r="B385" s="4" t="s">
        <v>11</v>
      </c>
      <c r="C385" s="4" t="s">
        <v>33</v>
      </c>
      <c r="D385" s="7">
        <v>83.99</v>
      </c>
      <c r="E385" s="1">
        <f t="shared" si="24"/>
        <v>-16.610405083399527</v>
      </c>
      <c r="F385" s="1">
        <f t="shared" si="25"/>
        <v>-8.8056460369163947</v>
      </c>
      <c r="G385" s="1">
        <f t="shared" si="26"/>
        <v>-12.665072267859006</v>
      </c>
      <c r="H385" s="1">
        <f t="shared" si="27"/>
        <v>0.33448811372596005</v>
      </c>
    </row>
    <row r="386" spans="1:8">
      <c r="A386" s="8">
        <v>46132</v>
      </c>
      <c r="B386" s="4" t="s">
        <v>11</v>
      </c>
      <c r="C386" s="3"/>
      <c r="D386" s="7">
        <v>87.56</v>
      </c>
      <c r="E386" s="1">
        <f t="shared" si="24"/>
        <v>4.2505060126205594</v>
      </c>
      <c r="F386" s="1">
        <f t="shared" si="25"/>
        <v>-5.8899398108340533</v>
      </c>
      <c r="G386" s="1">
        <f t="shared" si="26"/>
        <v>-12.106002810680588</v>
      </c>
      <c r="H386" s="1">
        <f t="shared" si="27"/>
        <v>0.87557603686636531</v>
      </c>
    </row>
    <row r="387" spans="1:8">
      <c r="A387" s="8">
        <v>46133</v>
      </c>
      <c r="B387" s="4" t="s">
        <v>11</v>
      </c>
      <c r="C387" s="3" t="s">
        <v>19</v>
      </c>
      <c r="D387" s="7">
        <v>90</v>
      </c>
      <c r="E387" s="1">
        <f t="shared" si="24"/>
        <v>2.7866605756052967</v>
      </c>
      <c r="F387" s="1">
        <f t="shared" si="25"/>
        <v>-10.643367752184272</v>
      </c>
      <c r="G387" s="1">
        <f t="shared" si="26"/>
        <v>-8.4807809640024434</v>
      </c>
      <c r="H387" s="1">
        <f t="shared" si="27"/>
        <v>-5.8675870724819577</v>
      </c>
    </row>
    <row r="388" spans="1:8">
      <c r="A388" s="8">
        <v>46134</v>
      </c>
      <c r="B388" s="4" t="s">
        <v>11</v>
      </c>
      <c r="D388" s="7">
        <v>91.4</v>
      </c>
      <c r="E388" s="1">
        <f t="shared" si="24"/>
        <v>1.555555555555562</v>
      </c>
      <c r="F388" s="1">
        <f t="shared" si="25"/>
        <v>8.8224788665317444</v>
      </c>
      <c r="G388" s="1">
        <f t="shared" si="26"/>
        <v>-9.2533756949960217</v>
      </c>
      <c r="H388" s="1">
        <f t="shared" si="27"/>
        <v>-7.1892770105605175</v>
      </c>
    </row>
    <row r="389" spans="1:8">
      <c r="A389" s="8">
        <v>46135</v>
      </c>
      <c r="B389" s="4" t="s">
        <v>11</v>
      </c>
      <c r="C389" s="3"/>
      <c r="D389" s="7">
        <v>95.85</v>
      </c>
      <c r="E389" s="1">
        <f t="shared" si="24"/>
        <v>4.8687089715535983</v>
      </c>
      <c r="F389" s="1">
        <f t="shared" si="25"/>
        <v>9.4677935130196342</v>
      </c>
      <c r="G389" s="1">
        <f t="shared" si="26"/>
        <v>4.0716612377850163</v>
      </c>
      <c r="H389" s="1">
        <f t="shared" si="27"/>
        <v>2.634115001606161</v>
      </c>
    </row>
    <row r="390" spans="1:8">
      <c r="A390" s="8">
        <v>46136</v>
      </c>
      <c r="B390" s="4" t="s">
        <v>11</v>
      </c>
      <c r="C390" s="3"/>
      <c r="D390" s="7">
        <v>94.4</v>
      </c>
      <c r="E390" s="1">
        <f t="shared" si="24"/>
        <v>-1.512780386019811</v>
      </c>
      <c r="F390" s="1">
        <f t="shared" si="25"/>
        <v>4.8888888888888955</v>
      </c>
      <c r="G390" s="1">
        <f t="shared" si="26"/>
        <v>1.4617368873602745</v>
      </c>
      <c r="H390" s="1">
        <f t="shared" si="27"/>
        <v>-1.6769086553484005</v>
      </c>
    </row>
  </sheetData>
  <conditionalFormatting sqref="E1:E1048576 F5:F390 G9:G390 H30:H390">
    <cfRule type="cellIs" dxfId="3" priority="7" operator="lessThan">
      <formula>0</formula>
    </cfRule>
    <cfRule type="cellIs" dxfId="2" priority="8" operator="greaterThan">
      <formula>0</formula>
    </cfRule>
  </conditionalFormatting>
  <conditionalFormatting sqref="E2:E390">
    <cfRule type="cellIs" dxfId="1" priority="9" operator="greaterThan">
      <formula>0</formula>
    </cfRule>
  </conditionalFormatting>
  <conditionalFormatting sqref="E3:E390">
    <cfRule type="cellIs" dxfId="0" priority="10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BE3546E51BEB419BB267D6EB1683F1" ma:contentTypeVersion="11" ma:contentTypeDescription="Create a new document." ma:contentTypeScope="" ma:versionID="c254cbcc8da67078dec80cd038dc110f">
  <xsd:schema xmlns:xsd="http://www.w3.org/2001/XMLSchema" xmlns:xs="http://www.w3.org/2001/XMLSchema" xmlns:p="http://schemas.microsoft.com/office/2006/metadata/properties" xmlns:ns3="b0042ab2-2b2c-48cc-a442-8ac1391804f6" targetNamespace="http://schemas.microsoft.com/office/2006/metadata/properties" ma:root="true" ma:fieldsID="ccb05d2f3b3cebe7bd20fb8240b330c9" ns3:_="">
    <xsd:import namespace="b0042ab2-2b2c-48cc-a442-8ac1391804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042ab2-2b2c-48cc-a442-8ac1391804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042ab2-2b2c-48cc-a442-8ac1391804f6" xsi:nil="true"/>
  </documentManagement>
</p:properties>
</file>

<file path=customXml/itemProps1.xml><?xml version="1.0" encoding="utf-8"?>
<ds:datastoreItem xmlns:ds="http://schemas.openxmlformats.org/officeDocument/2006/customXml" ds:itemID="{0075E294-962C-4423-B598-120B258A17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ABCEDC-F18E-4A8B-AC2F-4AC103983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042ab2-2b2c-48cc-a442-8ac1391804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D923C0-63B2-4814-A7E6-A358EDF6070A}">
  <ds:schemaRefs>
    <ds:schemaRef ds:uri="http://www.w3.org/XML/1998/namespace"/>
    <ds:schemaRef ds:uri="http://purl.org/dc/dcmitype/"/>
    <ds:schemaRef ds:uri="http://purl.org/dc/elements/1.1/"/>
    <ds:schemaRef ds:uri="b0042ab2-2b2c-48cc-a442-8ac1391804f6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Sumary Table</vt:lpstr>
      <vt:lpstr>Daily Price 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Ian Redman Aguilar (red78673)</cp:lastModifiedBy>
  <dcterms:created xsi:type="dcterms:W3CDTF">2026-04-20T19:29:00Z</dcterms:created>
  <dcterms:modified xsi:type="dcterms:W3CDTF">2026-06-02T14:31:50Z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0x01010066BE3546E51BEB419BB267D6EB1683F1</vt:lpwstr>
  </property>
</Properties>
</file>